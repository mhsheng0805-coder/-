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" sheetId="1" state="visible" r:id="rId1"/>
    <sheet xmlns:r="http://schemas.openxmlformats.org/officeDocument/2006/relationships" name="使用說明" sheetId="2" state="visible" r:id="rId2"/>
    <sheet xmlns:r="http://schemas.openxmlformats.org/officeDocument/2006/relationships" name="原料部" sheetId="3" state="visible" r:id="rId3"/>
    <sheet xmlns:r="http://schemas.openxmlformats.org/officeDocument/2006/relationships" name="產品部" sheetId="4" state="visible" r:id="rId4"/>
    <sheet xmlns:r="http://schemas.openxmlformats.org/officeDocument/2006/relationships" name="檢驗部" sheetId="5" state="visible" r:id="rId5"/>
    <sheet xmlns:r="http://schemas.openxmlformats.org/officeDocument/2006/relationships" name="製程部" sheetId="6" state="visible" r:id="rId6"/>
    <sheet xmlns:r="http://schemas.openxmlformats.org/officeDocument/2006/relationships" name="雲分部" sheetId="7" state="visible" r:id="rId7"/>
    <sheet xmlns:r="http://schemas.openxmlformats.org/officeDocument/2006/relationships" name="產服部" sheetId="8" state="visible" r:id="rId8"/>
    <sheet xmlns:r="http://schemas.openxmlformats.org/officeDocument/2006/relationships" name="合約追蹤明細" sheetId="9" state="visible" r:id="rId9"/>
    <sheet xmlns:r="http://schemas.openxmlformats.org/officeDocument/2006/relationships" name="未核銷費用彙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-0.0%;&quot;-&quot;"/>
  </numFmts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sz val="11"/>
    </font>
    <font>
      <name val="微軟正黑體"/>
      <sz val="10"/>
    </font>
    <font>
      <name val="微軟正黑體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微軟正黑體"/>
      <b val="1"/>
      <color rgb="00FFFFFF"/>
      <sz val="11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CE5FF"/>
      </patternFill>
    </fill>
    <fill>
      <patternFill patternType="solid">
        <fgColor rgb="0092D050"/>
      </patternFill>
    </fill>
    <fill>
      <patternFill patternType="solid">
        <fgColor rgb="00FF9999"/>
      </patternFill>
    </fill>
    <fill>
      <patternFill patternType="solid">
        <fgColor rgb="00FFCC00"/>
      </patternFill>
    </fill>
    <fill>
      <patternFill patternType="solid">
        <fgColor rgb="00FFF2CC"/>
      </patternFill>
    </fill>
    <fill>
      <patternFill patternType="solid">
        <fgColor rgb="00CCFFE5"/>
      </patternFill>
    </fill>
    <fill>
      <patternFill patternType="solid">
        <fgColor rgb="00FFE5CC"/>
      </patternFill>
    </fill>
    <fill>
      <patternFill patternType="solid">
        <fgColor rgb="00E5CCFF"/>
      </patternFill>
    </fill>
    <fill>
      <patternFill patternType="solid">
        <fgColor rgb="00FFCCE5"/>
      </patternFill>
    </fill>
    <fill>
      <patternFill patternType="solid">
        <fgColor rgb="00E5FFCC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E6"/>
      </patternFill>
    </fill>
    <fill>
      <patternFill patternType="solid">
        <fgColor rgb="00EDE1FF"/>
      </patternFill>
    </fill>
    <fill>
      <patternFill patternType="solid">
        <fgColor rgb="004682B4"/>
      </patternFill>
    </fill>
    <fill>
      <patternFill patternType="solid">
        <fgColor rgb="00EBF5FF"/>
      </patternFill>
    </fill>
    <fill>
      <patternFill patternType="solid">
        <fgColor rgb="00FFC8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5" fontId="6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 wrapText="1"/>
    </xf>
    <xf numFmtId="164" fontId="5" fillId="17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right" vertical="center"/>
    </xf>
    <xf numFmtId="165" fontId="6" fillId="1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 wrapText="1"/>
    </xf>
    <xf numFmtId="164" fontId="5" fillId="18" borderId="1" applyAlignment="1" pivotButton="0" quotePrefix="0" xfId="0">
      <alignment horizontal="right" vertical="center"/>
    </xf>
    <xf numFmtId="164" fontId="6" fillId="18" borderId="1" applyAlignment="1" pivotButton="0" quotePrefix="0" xfId="0">
      <alignment horizontal="right" vertical="center"/>
    </xf>
    <xf numFmtId="165" fontId="6" fillId="1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/>
    </xf>
    <xf numFmtId="0" fontId="4" fillId="19" borderId="0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 wrapText="1"/>
    </xf>
    <xf numFmtId="164" fontId="5" fillId="19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right" vertical="center"/>
    </xf>
    <xf numFmtId="0" fontId="3" fillId="19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49" fontId="5" fillId="19" borderId="1" applyAlignment="1" pivotButton="0" quotePrefix="0" xfId="0">
      <alignment horizontal="left" vertical="center"/>
    </xf>
    <xf numFmtId="0" fontId="7" fillId="20" borderId="0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49" fontId="5" fillId="21" borderId="1" applyAlignment="1" pivotButton="0" quotePrefix="0" xfId="0">
      <alignment horizontal="left" vertical="center"/>
    </xf>
    <xf numFmtId="164" fontId="5" fillId="21" borderId="1" applyAlignment="1" pivotButton="0" quotePrefix="0" xfId="0">
      <alignment horizontal="right" vertical="center"/>
    </xf>
    <xf numFmtId="49" fontId="5" fillId="2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/>
    </xf>
    <xf numFmtId="164" fontId="4" fillId="2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114年 來自民間業務收支彙整表（六部門）</t>
        </is>
      </c>
    </row>
    <row r="2" ht="28" customHeight="1">
      <c r="A2" s="2" t="inlineStr">
        <is>
          <t>部門</t>
        </is>
      </c>
      <c r="B2" s="2" t="inlineStr">
        <is>
          <t>項目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" t="inlineStr">
        <is>
          <t>原料部</t>
        </is>
      </c>
      <c r="B3" s="4" t="inlineStr">
        <is>
          <t>來自民間業務收入合計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6">
        <f>SUM(C3:N3)</f>
        <v/>
      </c>
      <c r="P3" s="5" t="n">
        <v>0</v>
      </c>
      <c r="Q3" s="7">
        <f>IF(P3=0,"-",O3/P3)</f>
        <v/>
      </c>
    </row>
    <row r="4" ht="20" customHeight="1">
      <c r="A4" s="8" t="n"/>
      <c r="B4" s="9" t="inlineStr">
        <is>
          <t>支出合計</t>
        </is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  <c r="N4" s="10" t="n">
        <v>0</v>
      </c>
      <c r="O4" s="11">
        <f>SUM(C4:N4)</f>
        <v/>
      </c>
      <c r="P4" s="10" t="n">
        <v>0</v>
      </c>
      <c r="Q4" s="12">
        <f>IF(P4=0,"-",O4/P4)</f>
        <v/>
      </c>
    </row>
    <row r="5" ht="20" customHeight="1">
      <c r="A5" s="8" t="n"/>
      <c r="B5" s="13" t="inlineStr">
        <is>
          <t>收支差額</t>
        </is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5">
        <f>SUM(C5:N5)</f>
        <v/>
      </c>
      <c r="P5" s="14" t="n">
        <v>0</v>
      </c>
      <c r="Q5" s="16">
        <f>IF(P5=0,"-",O5/P5)</f>
        <v/>
      </c>
    </row>
    <row r="6" ht="20" customHeight="1">
      <c r="A6" s="8" t="n"/>
      <c r="B6" s="17" t="inlineStr">
        <is>
          <t>未核銷合計</t>
        </is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9">
        <f>SUM(C6:N6)</f>
        <v/>
      </c>
      <c r="P6" s="18" t="n">
        <v>0</v>
      </c>
      <c r="Q6" s="20">
        <f>IF(P6=0,"-",O6/P6)</f>
        <v/>
      </c>
    </row>
    <row r="7" ht="8" customHeight="1">
      <c r="A7" s="21" t="inlineStr"/>
    </row>
    <row r="8" ht="20" customHeight="1">
      <c r="A8" s="22" t="inlineStr">
        <is>
          <t>產品部</t>
        </is>
      </c>
      <c r="B8" s="4" t="inlineStr">
        <is>
          <t>來自民間業務收入合計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6">
        <f>SUM(C8:N8)</f>
        <v/>
      </c>
      <c r="P8" s="5" t="n">
        <v>0</v>
      </c>
      <c r="Q8" s="7">
        <f>IF(P8=0,"-",O8/P8)</f>
        <v/>
      </c>
    </row>
    <row r="9" ht="20" customHeight="1">
      <c r="A9" s="8" t="n"/>
      <c r="B9" s="9" t="inlineStr">
        <is>
          <t>支出合計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1">
        <f>SUM(C9:N9)</f>
        <v/>
      </c>
      <c r="P9" s="10" t="n">
        <v>0</v>
      </c>
      <c r="Q9" s="12">
        <f>IF(P9=0,"-",O9/P9)</f>
        <v/>
      </c>
    </row>
    <row r="10" ht="20" customHeight="1">
      <c r="A10" s="8" t="n"/>
      <c r="B10" s="13" t="inlineStr">
        <is>
          <t>收支差額</t>
        </is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5">
        <f>SUM(C10:N10)</f>
        <v/>
      </c>
      <c r="P10" s="14" t="n">
        <v>0</v>
      </c>
      <c r="Q10" s="16">
        <f>IF(P10=0,"-",O10/P10)</f>
        <v/>
      </c>
    </row>
    <row r="11" ht="20" customHeight="1">
      <c r="A11" s="8" t="n"/>
      <c r="B11" s="17" t="inlineStr">
        <is>
          <t>未核銷合計</t>
        </is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9">
        <f>SUM(C11:N11)</f>
        <v/>
      </c>
      <c r="P11" s="18" t="n">
        <v>0</v>
      </c>
      <c r="Q11" s="20">
        <f>IF(P11=0,"-",O11/P11)</f>
        <v/>
      </c>
    </row>
    <row r="12" ht="8" customHeight="1">
      <c r="A12" s="21" t="inlineStr"/>
    </row>
    <row r="13" ht="20" customHeight="1">
      <c r="A13" s="23" t="inlineStr">
        <is>
          <t>檢驗部</t>
        </is>
      </c>
      <c r="B13" s="4" t="inlineStr">
        <is>
          <t>來自民間業務收入合計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6">
        <f>SUM(C13:N13)</f>
        <v/>
      </c>
      <c r="P13" s="5" t="n">
        <v>0</v>
      </c>
      <c r="Q13" s="7">
        <f>IF(P13=0,"-",O13/P13)</f>
        <v/>
      </c>
    </row>
    <row r="14" ht="20" customHeight="1">
      <c r="A14" s="8" t="n"/>
      <c r="B14" s="9" t="inlineStr">
        <is>
          <t>支出合計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1">
        <f>SUM(C14:N14)</f>
        <v/>
      </c>
      <c r="P14" s="10" t="n">
        <v>0</v>
      </c>
      <c r="Q14" s="12">
        <f>IF(P14=0,"-",O14/P14)</f>
        <v/>
      </c>
    </row>
    <row r="15" ht="20" customHeight="1">
      <c r="A15" s="8" t="n"/>
      <c r="B15" s="13" t="inlineStr">
        <is>
          <t>收支差額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5">
        <f>SUM(C15:N15)</f>
        <v/>
      </c>
      <c r="P15" s="14" t="n">
        <v>0</v>
      </c>
      <c r="Q15" s="16">
        <f>IF(P15=0,"-",O15/P15)</f>
        <v/>
      </c>
    </row>
    <row r="16" ht="20" customHeight="1">
      <c r="A16" s="8" t="n"/>
      <c r="B16" s="17" t="inlineStr">
        <is>
          <t>未核銷合計</t>
        </is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9">
        <f>SUM(C16:N16)</f>
        <v/>
      </c>
      <c r="P16" s="18" t="n">
        <v>0</v>
      </c>
      <c r="Q16" s="20">
        <f>IF(P16=0,"-",O16/P16)</f>
        <v/>
      </c>
    </row>
    <row r="17" ht="8" customHeight="1">
      <c r="A17" s="21" t="inlineStr"/>
    </row>
    <row r="18" ht="20" customHeight="1">
      <c r="A18" s="24" t="inlineStr">
        <is>
          <t>製程部</t>
        </is>
      </c>
      <c r="B18" s="4" t="inlineStr">
        <is>
          <t>來自民間業務收入合計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6">
        <f>SUM(C18:N18)</f>
        <v/>
      </c>
      <c r="P18" s="5" t="n">
        <v>0</v>
      </c>
      <c r="Q18" s="7">
        <f>IF(P18=0,"-",O18/P18)</f>
        <v/>
      </c>
    </row>
    <row r="19" ht="20" customHeight="1">
      <c r="A19" s="8" t="n"/>
      <c r="B19" s="9" t="inlineStr">
        <is>
          <t>支出合計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1">
        <f>SUM(C19:N19)</f>
        <v/>
      </c>
      <c r="P19" s="10" t="n">
        <v>0</v>
      </c>
      <c r="Q19" s="12">
        <f>IF(P19=0,"-",O19/P19)</f>
        <v/>
      </c>
    </row>
    <row r="20" ht="20" customHeight="1">
      <c r="A20" s="8" t="n"/>
      <c r="B20" s="13" t="inlineStr">
        <is>
          <t>收支差額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5">
        <f>SUM(C20:N20)</f>
        <v/>
      </c>
      <c r="P20" s="14" t="n">
        <v>0</v>
      </c>
      <c r="Q20" s="16">
        <f>IF(P20=0,"-",O20/P20)</f>
        <v/>
      </c>
    </row>
    <row r="21" ht="20" customHeight="1">
      <c r="A21" s="8" t="n"/>
      <c r="B21" s="17" t="inlineStr">
        <is>
          <t>未核銷合計</t>
        </is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9">
        <f>SUM(C21:N21)</f>
        <v/>
      </c>
      <c r="P21" s="18" t="n">
        <v>0</v>
      </c>
      <c r="Q21" s="20">
        <f>IF(P21=0,"-",O21/P21)</f>
        <v/>
      </c>
    </row>
    <row r="22" ht="8" customHeight="1">
      <c r="A22" s="21" t="inlineStr"/>
    </row>
    <row r="23" ht="20" customHeight="1">
      <c r="A23" s="25" t="inlineStr">
        <is>
          <t>雲分部</t>
        </is>
      </c>
      <c r="B23" s="4" t="inlineStr">
        <is>
          <t>來自民間業務收入合計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6">
        <f>SUM(C23:N23)</f>
        <v/>
      </c>
      <c r="P23" s="5" t="n">
        <v>0</v>
      </c>
      <c r="Q23" s="7">
        <f>IF(P23=0,"-",O23/P23)</f>
        <v/>
      </c>
    </row>
    <row r="24" ht="20" customHeight="1">
      <c r="A24" s="8" t="n"/>
      <c r="B24" s="9" t="inlineStr">
        <is>
          <t>支出合計</t>
        </is>
      </c>
      <c r="C24" s="10" t="n">
        <v>0</v>
      </c>
      <c r="D24" s="10" t="n">
        <v>0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1">
        <f>SUM(C24:N24)</f>
        <v/>
      </c>
      <c r="P24" s="10" t="n">
        <v>0</v>
      </c>
      <c r="Q24" s="12">
        <f>IF(P24=0,"-",O24/P24)</f>
        <v/>
      </c>
    </row>
    <row r="25" ht="20" customHeight="1">
      <c r="A25" s="8" t="n"/>
      <c r="B25" s="13" t="inlineStr">
        <is>
          <t>收支差額</t>
        </is>
      </c>
      <c r="C25" s="14" t="n">
        <v>0</v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5">
        <f>SUM(C25:N25)</f>
        <v/>
      </c>
      <c r="P25" s="14" t="n">
        <v>0</v>
      </c>
      <c r="Q25" s="16">
        <f>IF(P25=0,"-",O25/P25)</f>
        <v/>
      </c>
    </row>
    <row r="26" ht="20" customHeight="1">
      <c r="A26" s="8" t="n"/>
      <c r="B26" s="17" t="inlineStr">
        <is>
          <t>未核銷合計</t>
        </is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9">
        <f>SUM(C26:N26)</f>
        <v/>
      </c>
      <c r="P26" s="18" t="n">
        <v>0</v>
      </c>
      <c r="Q26" s="20">
        <f>IF(P26=0,"-",O26/P26)</f>
        <v/>
      </c>
    </row>
    <row r="27" ht="8" customHeight="1">
      <c r="A27" s="21" t="inlineStr"/>
    </row>
    <row r="28" ht="20" customHeight="1">
      <c r="A28" s="26" t="inlineStr">
        <is>
          <t>產服部</t>
        </is>
      </c>
      <c r="B28" s="4" t="inlineStr">
        <is>
          <t>來自民間業務收入合計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6">
        <f>SUM(C28:N28)</f>
        <v/>
      </c>
      <c r="P28" s="5" t="n">
        <v>0</v>
      </c>
      <c r="Q28" s="7">
        <f>IF(P28=0,"-",O28/P28)</f>
        <v/>
      </c>
    </row>
    <row r="29" ht="20" customHeight="1">
      <c r="A29" s="8" t="n"/>
      <c r="B29" s="9" t="inlineStr">
        <is>
          <t>支出合計</t>
        </is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O29" s="11">
        <f>SUM(C29:N29)</f>
        <v/>
      </c>
      <c r="P29" s="10" t="n">
        <v>0</v>
      </c>
      <c r="Q29" s="12">
        <f>IF(P29=0,"-",O29/P29)</f>
        <v/>
      </c>
    </row>
    <row r="30" ht="20" customHeight="1">
      <c r="A30" s="8" t="n"/>
      <c r="B30" s="13" t="inlineStr">
        <is>
          <t>收支差額</t>
        </is>
      </c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5">
        <f>SUM(C30:N30)</f>
        <v/>
      </c>
      <c r="P30" s="14" t="n">
        <v>0</v>
      </c>
      <c r="Q30" s="16">
        <f>IF(P30=0,"-",O30/P30)</f>
        <v/>
      </c>
    </row>
    <row r="31" ht="20" customHeight="1">
      <c r="A31" s="8" t="n"/>
      <c r="B31" s="17" t="inlineStr">
        <is>
          <t>未核銷合計</t>
        </is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18" t="n">
        <v>0</v>
      </c>
      <c r="Q31" s="20">
        <f>IF(P31=0,"-",O31/P31)</f>
        <v/>
      </c>
    </row>
    <row r="32" ht="8" customHeight="1">
      <c r="A32" s="21" t="inlineStr"/>
    </row>
    <row r="33" ht="22" customHeight="1">
      <c r="A33" s="27" t="inlineStr">
        <is>
          <t>六部門合計</t>
        </is>
      </c>
      <c r="B33" s="4" t="inlineStr">
        <is>
          <t>來自民間業務收入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28">
        <f>SUM(C33:N33)</f>
        <v/>
      </c>
      <c r="P33" s="5" t="n">
        <v>0</v>
      </c>
      <c r="Q33" s="7">
        <f>IF(P33=0,"-",O33/P33)</f>
        <v/>
      </c>
    </row>
    <row r="34" ht="22" customHeight="1">
      <c r="A34" s="8" t="n"/>
      <c r="B34" s="9" t="inlineStr">
        <is>
          <t>支出合計</t>
        </is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29">
        <f>SUM(C34:N34)</f>
        <v/>
      </c>
      <c r="P34" s="10" t="n">
        <v>0</v>
      </c>
      <c r="Q34" s="12">
        <f>IF(P34=0,"-",O34/P34)</f>
        <v/>
      </c>
    </row>
    <row r="35" ht="22" customHeight="1">
      <c r="A35" s="8" t="n"/>
      <c r="B35" s="13" t="inlineStr">
        <is>
          <t>收支差額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30">
        <f>SUM(C35:N35)</f>
        <v/>
      </c>
      <c r="P35" s="14" t="n">
        <v>0</v>
      </c>
      <c r="Q35" s="16">
        <f>IF(P35=0,"-",O35/P35)</f>
        <v/>
      </c>
    </row>
    <row r="36" ht="22" customHeight="1">
      <c r="A36" s="8" t="n"/>
      <c r="B36" s="17" t="inlineStr">
        <is>
          <t>未核銷合計</t>
        </is>
      </c>
      <c r="C36" s="19" t="n">
        <v>0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31">
        <f>SUM(C36:N36)</f>
        <v/>
      </c>
      <c r="P36" s="18" t="n">
        <v>0</v>
      </c>
      <c r="Q36" s="20">
        <f>IF(P36=0,"-",O36/P36)</f>
        <v/>
      </c>
    </row>
  </sheetData>
  <mergeCells count="14">
    <mergeCell ref="A18:A21"/>
    <mergeCell ref="A13:A16"/>
    <mergeCell ref="A22:Q22"/>
    <mergeCell ref="A17:Q17"/>
    <mergeCell ref="A23:A26"/>
    <mergeCell ref="A27:Q27"/>
    <mergeCell ref="A8:A11"/>
    <mergeCell ref="A12:Q12"/>
    <mergeCell ref="A7:Q7"/>
    <mergeCell ref="A28:A31"/>
    <mergeCell ref="A3:A6"/>
    <mergeCell ref="A33:A36"/>
    <mergeCell ref="A1:Q1"/>
    <mergeCell ref="A32:Q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</cols>
  <sheetData>
    <row r="1" ht="40" customHeight="1">
      <c r="A1" s="1" t="inlineStr">
        <is>
          <t>紡織所 114年 來自民間業務收支管理系統 使用說明</t>
        </is>
      </c>
    </row>
    <row r="2" ht="22" customHeight="1">
      <c r="A2" s="32" t="inlineStr">
        <is>
          <t>▌ 工作表說明</t>
        </is>
      </c>
    </row>
    <row r="3" ht="22" customHeight="1">
      <c r="A3" s="33" t="inlineStr"/>
      <c r="B3" s="34" t="inlineStr">
        <is>
          <t>彙整</t>
        </is>
      </c>
      <c r="C3" s="34" t="inlineStr">
        <is>
          <t>六個部門收入、支出、收支差額及未核銷費用的總覽，藍色儲存格可手動輸入或鏈接各部門工作表。</t>
        </is>
      </c>
    </row>
    <row r="4" ht="22" customHeight="1">
      <c r="A4" s="33" t="inlineStr"/>
      <c r="B4" s="34" t="inlineStr">
        <is>
          <t>原料部 / 產品部 / 檢驗部 / 製程部 / 雲分部 / 產服部</t>
        </is>
      </c>
      <c r="C4" s="34" t="inlineStr">
        <is>
          <t>各部門獨立收支追蹤表，含1-12月月份欄位。</t>
        </is>
      </c>
    </row>
    <row r="5" ht="22" customHeight="1">
      <c r="A5" s="33" t="inlineStr"/>
      <c r="B5" s="34" t="inlineStr">
        <is>
          <t>合約追蹤明細</t>
        </is>
      </c>
      <c r="C5" s="34" t="inlineStr">
        <is>
          <t>逐月記錄每筆合約的簽約進度，包含洽談中、已簽約、完成等狀態。</t>
        </is>
      </c>
    </row>
    <row r="6" ht="22" customHeight="1">
      <c r="A6" s="33" t="inlineStr"/>
      <c r="B6" s="34" t="inlineStr">
        <is>
          <t>未核銷費用彙整</t>
        </is>
      </c>
      <c r="C6" s="34" t="inlineStr">
        <is>
          <t>各部門每月已申請但尚未核銷的費用彙整。</t>
        </is>
      </c>
    </row>
    <row r="7" ht="22" customHeight="1">
      <c r="A7" s="33" t="inlineStr"/>
      <c r="B7" s="34" t="inlineStr"/>
      <c r="C7" s="34" t="inlineStr"/>
    </row>
    <row r="8" ht="22" customHeight="1">
      <c r="A8" s="32" t="inlineStr">
        <is>
          <t>▌ 填寫說明</t>
        </is>
      </c>
    </row>
    <row r="9" ht="22" customHeight="1">
      <c r="A9" s="33" t="inlineStr"/>
      <c r="B9" s="34" t="inlineStr">
        <is>
          <t>藍色儲存格</t>
        </is>
      </c>
      <c r="C9" s="34" t="inlineStr">
        <is>
          <t>可直接輸入的欄位（年度目標、各月實際金額、已申請未核銷費用等）。</t>
        </is>
      </c>
    </row>
    <row r="10" ht="22" customHeight="1">
      <c r="A10" s="33" t="inlineStr"/>
      <c r="B10" s="34" t="inlineStr">
        <is>
          <t>黑色儲存格</t>
        </is>
      </c>
      <c r="C10" s="34" t="inlineStr">
        <is>
          <t>系統自動計算的公式，請勿更改。</t>
        </is>
      </c>
    </row>
    <row r="11" ht="22" customHeight="1">
      <c r="A11" s="33" t="inlineStr"/>
      <c r="B11" s="34" t="inlineStr">
        <is>
          <t>綠色儲存格</t>
        </is>
      </c>
      <c r="C11" s="34" t="inlineStr">
        <is>
          <t>跨工作表連結，數值來自其他工作表。</t>
        </is>
      </c>
    </row>
    <row r="12" ht="22" customHeight="1">
      <c r="A12" s="33" t="inlineStr"/>
      <c r="B12" s="34" t="inlineStr"/>
      <c r="C12" s="34" t="inlineStr"/>
    </row>
    <row r="13" ht="22" customHeight="1">
      <c r="A13" s="32" t="inlineStr">
        <is>
          <t>▌ 合約追蹤說明</t>
        </is>
      </c>
    </row>
    <row r="14" ht="22" customHeight="1">
      <c r="A14" s="33" t="inlineStr"/>
      <c r="B14" s="34" t="inlineStr">
        <is>
          <t>狀態欄位說明</t>
        </is>
      </c>
      <c r="C14" s="34" t="inlineStr">
        <is>
          <t>新增簽約：本月新簽; 洽談中：尚未正式簽約; 已簽約執行中：合約進行中; 完成：已結案</t>
        </is>
      </c>
    </row>
    <row r="15" ht="22" customHeight="1">
      <c r="A15" s="33" t="inlineStr"/>
      <c r="B15" s="34" t="inlineStr">
        <is>
          <t>延續機制</t>
        </is>
      </c>
      <c r="C15" s="34" t="inlineStr">
        <is>
          <t>若合約跨月，請在下月對應行填寫，並在備註欄填入上月合約編號。</t>
        </is>
      </c>
    </row>
    <row r="16" ht="22" customHeight="1">
      <c r="A16" s="33" t="inlineStr"/>
      <c r="B16" s="34" t="inlineStr"/>
      <c r="C16" s="34" t="inlineStr"/>
    </row>
    <row r="17" ht="22" customHeight="1">
      <c r="A17" s="32" t="inlineStr">
        <is>
          <t>▌ WEB 系統說明</t>
        </is>
      </c>
    </row>
    <row r="18" ht="22" customHeight="1">
      <c r="A18" s="33" t="inlineStr"/>
      <c r="B18" s="34" t="inlineStr">
        <is>
          <t>存取方式</t>
        </is>
      </c>
      <c r="C18" s="34" t="inlineStr">
        <is>
          <t>在有 WiFi 的環境下，瀏覽器輸入伺服器 IP + Port 即可連線填寫。</t>
        </is>
      </c>
    </row>
    <row r="19" ht="22" customHeight="1">
      <c r="A19" s="33" t="inlineStr"/>
      <c r="B19" s="34" t="inlineStr">
        <is>
          <t>預設網址</t>
        </is>
      </c>
      <c r="C19" s="34" t="inlineStr">
        <is>
          <t>http://[伺服器IP]:5001  (請向系統管理員確認 IP)</t>
        </is>
      </c>
    </row>
    <row r="20" ht="22" customHeight="1">
      <c r="A20" s="33" t="inlineStr"/>
      <c r="B20" s="34" t="inlineStr">
        <is>
          <t>功能</t>
        </is>
      </c>
      <c r="C20" s="34" t="inlineStr">
        <is>
          <t>線上填寫各部門收支數據、查詢報表、匯出 Excel。</t>
        </is>
      </c>
    </row>
  </sheetData>
  <mergeCells count="5">
    <mergeCell ref="A13:C13"/>
    <mergeCell ref="A1:C1"/>
    <mergeCell ref="A8:C8"/>
    <mergeCell ref="A17:C1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原料部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產品部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檢驗部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製程部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雲分部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9" customWidth="1" min="17" max="17"/>
  </cols>
  <sheetData>
    <row r="1" ht="35" customHeight="1">
      <c r="A1" s="1" t="inlineStr">
        <is>
          <t>紡織所 產服部 114年 來自民間業務收支表</t>
        </is>
      </c>
    </row>
    <row r="2" ht="28" customHeight="1">
      <c r="A2" s="2" t="inlineStr">
        <is>
          <t>項目</t>
        </is>
      </c>
      <c r="B2" s="2" t="inlineStr"/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合計</t>
        </is>
      </c>
      <c r="P2" s="2" t="inlineStr">
        <is>
          <t>年度目標</t>
        </is>
      </c>
      <c r="Q2" s="2" t="inlineStr">
        <is>
          <t>達成率</t>
        </is>
      </c>
    </row>
    <row r="3" ht="20" customHeight="1">
      <c r="A3" s="35" t="inlineStr">
        <is>
          <t>【收入】</t>
        </is>
      </c>
    </row>
    <row r="4" ht="18" customHeight="1">
      <c r="A4" s="36" t="inlineStr">
        <is>
          <t>檢測服務收入費</t>
        </is>
      </c>
      <c r="B4" s="37" t="n"/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38" t="n">
        <v>0</v>
      </c>
      <c r="N4" s="38" t="n">
        <v>0</v>
      </c>
      <c r="O4" s="39">
        <f>SUM(C4:N4)</f>
        <v/>
      </c>
      <c r="P4" s="38" t="n">
        <v>0</v>
      </c>
      <c r="Q4" s="40">
        <f>IF(P4=0,"-",O4/P4)</f>
        <v/>
      </c>
    </row>
    <row r="5" ht="18" customHeight="1">
      <c r="A5" s="36" t="inlineStr">
        <is>
          <t>技術服務收入費</t>
        </is>
      </c>
      <c r="B5" s="37" t="n"/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38" t="n">
        <v>0</v>
      </c>
      <c r="N5" s="38" t="n">
        <v>0</v>
      </c>
      <c r="O5" s="39">
        <f>SUM(C5:N5)</f>
        <v/>
      </c>
      <c r="P5" s="38" t="n">
        <v>0</v>
      </c>
      <c r="Q5" s="40">
        <f>IF(P5=0,"-",O5/P5)</f>
        <v/>
      </c>
    </row>
    <row r="6" ht="18" customHeight="1">
      <c r="A6" s="36" t="inlineStr">
        <is>
          <t>認証服務收入費</t>
        </is>
      </c>
      <c r="B6" s="37" t="n"/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9">
        <f>SUM(C6:N6)</f>
        <v/>
      </c>
      <c r="P6" s="38" t="n">
        <v>0</v>
      </c>
      <c r="Q6" s="40">
        <f>IF(P6=0,"-",O6/P6)</f>
        <v/>
      </c>
    </row>
    <row r="7" ht="18" customHeight="1">
      <c r="A7" s="36" t="inlineStr">
        <is>
          <t>其他業務收入費</t>
        </is>
      </c>
      <c r="B7" s="37" t="n"/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8" t="n">
        <v>0</v>
      </c>
      <c r="O7" s="39">
        <f>SUM(C7:N7)</f>
        <v/>
      </c>
      <c r="P7" s="38" t="n">
        <v>0</v>
      </c>
      <c r="Q7" s="40">
        <f>IF(P7=0,"-",O7/P7)</f>
        <v/>
      </c>
    </row>
    <row r="8" ht="18" customHeight="1">
      <c r="A8" s="41" t="inlineStr">
        <is>
          <t>附屬業務-委外加工收入</t>
        </is>
      </c>
      <c r="B8" s="42" t="n"/>
      <c r="C8" s="43" t="n">
        <v>0</v>
      </c>
      <c r="D8" s="43" t="n">
        <v>0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43" t="n">
        <v>0</v>
      </c>
      <c r="K8" s="43" t="n">
        <v>0</v>
      </c>
      <c r="L8" s="43" t="n">
        <v>0</v>
      </c>
      <c r="M8" s="43" t="n">
        <v>0</v>
      </c>
      <c r="N8" s="43" t="n">
        <v>0</v>
      </c>
      <c r="O8" s="44">
        <f>SUM(C8:N8)</f>
        <v/>
      </c>
      <c r="P8" s="43" t="n">
        <v>0</v>
      </c>
      <c r="Q8" s="42" t="inlineStr"/>
    </row>
    <row r="9" ht="18" customHeight="1">
      <c r="A9" s="41" t="inlineStr">
        <is>
          <t>附屬業務-其他非民間收入</t>
        </is>
      </c>
      <c r="B9" s="42" t="n"/>
      <c r="C9" s="43" t="n">
        <v>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4">
        <f>SUM(C9:N9)</f>
        <v/>
      </c>
      <c r="P9" s="43" t="n">
        <v>0</v>
      </c>
      <c r="Q9" s="42" t="inlineStr"/>
    </row>
    <row r="10" ht="18" customHeight="1">
      <c r="A10" s="41" t="inlineStr">
        <is>
          <t>附屬業務-其他民間收入</t>
        </is>
      </c>
      <c r="B10" s="42" t="n"/>
      <c r="C10" s="43" t="n">
        <v>0</v>
      </c>
      <c r="D10" s="43" t="n">
        <v>0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43" t="n">
        <v>0</v>
      </c>
      <c r="K10" s="43" t="n">
        <v>0</v>
      </c>
      <c r="L10" s="43" t="n">
        <v>0</v>
      </c>
      <c r="M10" s="43" t="n">
        <v>0</v>
      </c>
      <c r="N10" s="43" t="n">
        <v>0</v>
      </c>
      <c r="O10" s="44">
        <f>SUM(C10:N10)</f>
        <v/>
      </c>
      <c r="P10" s="43" t="n">
        <v>0</v>
      </c>
      <c r="Q10" s="42" t="inlineStr"/>
    </row>
    <row r="11" ht="18" customHeight="1">
      <c r="A11" s="45" t="inlineStr">
        <is>
          <t>其他小計(自民間)</t>
        </is>
      </c>
      <c r="B11" s="46" t="n"/>
      <c r="C11" s="44">
        <f>SUM(C8,C9,C10)</f>
        <v/>
      </c>
      <c r="D11" s="44">
        <f>SUM(D8,D9,D10)</f>
        <v/>
      </c>
      <c r="E11" s="44">
        <f>SUM(E8,E9,E10)</f>
        <v/>
      </c>
      <c r="F11" s="44">
        <f>SUM(F8,F9,F10)</f>
        <v/>
      </c>
      <c r="G11" s="44">
        <f>SUM(G8,G9,G10)</f>
        <v/>
      </c>
      <c r="H11" s="44">
        <f>SUM(H8,H9,H10)</f>
        <v/>
      </c>
      <c r="I11" s="44">
        <f>SUM(I8,I9,I10)</f>
        <v/>
      </c>
      <c r="J11" s="44">
        <f>SUM(J8,J9,J10)</f>
        <v/>
      </c>
      <c r="K11" s="44">
        <f>SUM(K8,K9,K10)</f>
        <v/>
      </c>
      <c r="L11" s="44">
        <f>SUM(L8,L9,L10)</f>
        <v/>
      </c>
      <c r="M11" s="44">
        <f>SUM(M8,M9,M10)</f>
        <v/>
      </c>
      <c r="N11" s="44">
        <f>SUM(N8,N9,N10)</f>
        <v/>
      </c>
      <c r="O11" s="47">
        <f>SUM(C11:N11)</f>
        <v/>
      </c>
      <c r="P11" s="43" t="n">
        <v>0</v>
      </c>
      <c r="Q11" s="48">
        <f>IF(P11=0,"-",O11/P11)</f>
        <v/>
      </c>
    </row>
    <row r="12" ht="18" customHeight="1">
      <c r="A12" s="36" t="inlineStr">
        <is>
          <t>小型企業收入</t>
        </is>
      </c>
      <c r="B12" s="37" t="n"/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9">
        <f>SUM(C12:N12)</f>
        <v/>
      </c>
      <c r="P12" s="38" t="n">
        <v>0</v>
      </c>
      <c r="Q12" s="40">
        <f>IF(P12=0,"-",O12/P12)</f>
        <v/>
      </c>
    </row>
    <row r="13" ht="18" customHeight="1">
      <c r="A13" s="4" t="inlineStr">
        <is>
          <t>來自民間業務收入合計</t>
        </is>
      </c>
      <c r="B13" s="49" t="n"/>
      <c r="C13" s="6">
        <f>SUM(C4,C5,C6,C7,C12)</f>
        <v/>
      </c>
      <c r="D13" s="6">
        <f>SUM(D4,D5,D6,D7,D12)</f>
        <v/>
      </c>
      <c r="E13" s="6">
        <f>SUM(E4,E5,E6,E7,E12)</f>
        <v/>
      </c>
      <c r="F13" s="6">
        <f>SUM(F4,F5,F6,F7,F12)</f>
        <v/>
      </c>
      <c r="G13" s="6">
        <f>SUM(G4,G5,G6,G7,G12)</f>
        <v/>
      </c>
      <c r="H13" s="6">
        <f>SUM(H4,H5,H6,H7,H12)</f>
        <v/>
      </c>
      <c r="I13" s="6">
        <f>SUM(I4,I5,I6,I7,I12)</f>
        <v/>
      </c>
      <c r="J13" s="6">
        <f>SUM(J4,J5,J6,J7,J12)</f>
        <v/>
      </c>
      <c r="K13" s="6">
        <f>SUM(K4,K5,K6,K7,K12)</f>
        <v/>
      </c>
      <c r="L13" s="6">
        <f>SUM(L4,L5,L6,L7,L12)</f>
        <v/>
      </c>
      <c r="M13" s="6">
        <f>SUM(M4,M5,M6,M7,M12)</f>
        <v/>
      </c>
      <c r="N13" s="6">
        <f>SUM(N4,N5,N6,N7,N12)</f>
        <v/>
      </c>
      <c r="O13" s="28">
        <f>SUM(C13:N13)</f>
        <v/>
      </c>
      <c r="P13" s="5" t="n">
        <v>0</v>
      </c>
      <c r="Q13" s="7">
        <f>IF(P13=0,"-",O13/P13)</f>
        <v/>
      </c>
    </row>
    <row r="15" ht="20" customHeight="1">
      <c r="A15" s="50" t="inlineStr">
        <is>
          <t>【支出】</t>
        </is>
      </c>
    </row>
    <row r="16" ht="18" customHeight="1">
      <c r="A16" s="51" t="inlineStr">
        <is>
          <t>人事費用</t>
        </is>
      </c>
      <c r="B16" s="52" t="n"/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4">
        <f>SUM(C16:N16)</f>
        <v/>
      </c>
      <c r="P16" s="53" t="n">
        <v>0</v>
      </c>
      <c r="Q16" s="55">
        <f>IF(P16=0,"-",O16/P16)</f>
        <v/>
      </c>
    </row>
    <row r="17" ht="18" customHeight="1">
      <c r="A17" s="51" t="inlineStr">
        <is>
          <t>業務費用</t>
        </is>
      </c>
      <c r="B17" s="52" t="n"/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4">
        <f>SUM(C17:N17)</f>
        <v/>
      </c>
      <c r="P17" s="53" t="n">
        <v>0</v>
      </c>
      <c r="Q17" s="55">
        <f>IF(P17=0,"-",O17/P17)</f>
        <v/>
      </c>
    </row>
    <row r="18" ht="18" customHeight="1">
      <c r="A18" s="51" t="inlineStr">
        <is>
          <t>維護費</t>
        </is>
      </c>
      <c r="B18" s="52" t="n"/>
      <c r="C18" s="53" t="n">
        <v>0</v>
      </c>
      <c r="D18" s="53" t="n">
        <v>0</v>
      </c>
      <c r="E18" s="53" t="n">
        <v>0</v>
      </c>
      <c r="F18" s="53" t="n">
        <v>0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</v>
      </c>
      <c r="L18" s="53" t="n">
        <v>0</v>
      </c>
      <c r="M18" s="53" t="n">
        <v>0</v>
      </c>
      <c r="N18" s="53" t="n">
        <v>0</v>
      </c>
      <c r="O18" s="54">
        <f>SUM(C18:N18)</f>
        <v/>
      </c>
      <c r="P18" s="53" t="n">
        <v>0</v>
      </c>
      <c r="Q18" s="55">
        <f>IF(P18=0,"-",O18/P18)</f>
        <v/>
      </c>
    </row>
    <row r="19" ht="18" customHeight="1">
      <c r="A19" s="51" t="inlineStr">
        <is>
          <t>旅運費</t>
        </is>
      </c>
      <c r="B19" s="52" t="n"/>
      <c r="C19" s="53" t="n">
        <v>0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4">
        <f>SUM(C19:N19)</f>
        <v/>
      </c>
      <c r="P19" s="53" t="n">
        <v>0</v>
      </c>
      <c r="Q19" s="55">
        <f>IF(P19=0,"-",O19/P19)</f>
        <v/>
      </c>
    </row>
    <row r="20" ht="18" customHeight="1">
      <c r="A20" s="51" t="inlineStr">
        <is>
          <t>材料費</t>
        </is>
      </c>
      <c r="B20" s="52" t="n"/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4">
        <f>SUM(C20:N20)</f>
        <v/>
      </c>
      <c r="P20" s="53" t="n">
        <v>0</v>
      </c>
      <c r="Q20" s="55">
        <f>IF(P20=0,"-",O20/P20)</f>
        <v/>
      </c>
    </row>
    <row r="21" ht="18" customHeight="1">
      <c r="A21" s="51" t="inlineStr">
        <is>
          <t>租借設備使用費</t>
        </is>
      </c>
      <c r="B21" s="52" t="n"/>
      <c r="C21" s="53" t="n">
        <v>0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4">
        <f>SUM(C21:N21)</f>
        <v/>
      </c>
      <c r="P21" s="53" t="n">
        <v>0</v>
      </c>
      <c r="Q21" s="55">
        <f>IF(P21=0,"-",O21/P21)</f>
        <v/>
      </c>
    </row>
    <row r="22" ht="18" customHeight="1">
      <c r="A22" s="51" t="inlineStr">
        <is>
          <t>差旅費</t>
        </is>
      </c>
      <c r="B22" s="52" t="n"/>
      <c r="C22" s="53" t="n">
        <v>0</v>
      </c>
      <c r="D22" s="53" t="n">
        <v>0</v>
      </c>
      <c r="E22" s="53" t="n">
        <v>0</v>
      </c>
      <c r="F22" s="53" t="n">
        <v>0</v>
      </c>
      <c r="G22" s="53" t="n">
        <v>0</v>
      </c>
      <c r="H22" s="53" t="n">
        <v>0</v>
      </c>
      <c r="I22" s="53" t="n">
        <v>0</v>
      </c>
      <c r="J22" s="53" t="n">
        <v>0</v>
      </c>
      <c r="K22" s="53" t="n">
        <v>0</v>
      </c>
      <c r="L22" s="53" t="n">
        <v>0</v>
      </c>
      <c r="M22" s="53" t="n">
        <v>0</v>
      </c>
      <c r="N22" s="53" t="n">
        <v>0</v>
      </c>
      <c r="O22" s="54">
        <f>SUM(C22:N22)</f>
        <v/>
      </c>
      <c r="P22" s="53" t="n">
        <v>0</v>
      </c>
      <c r="Q22" s="55">
        <f>IF(P22=0,"-",O22/P22)</f>
        <v/>
      </c>
    </row>
    <row r="23" ht="18" customHeight="1">
      <c r="A23" s="41" t="inlineStr">
        <is>
          <t>附屬業務-委外加工支出</t>
        </is>
      </c>
      <c r="B23" s="42" t="n"/>
      <c r="C23" s="43" t="n">
        <v>0</v>
      </c>
      <c r="D23" s="43" t="n">
        <v>0</v>
      </c>
      <c r="E23" s="43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43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44">
        <f>SUM(C23:N23)</f>
        <v/>
      </c>
      <c r="P23" s="43" t="n">
        <v>0</v>
      </c>
      <c r="Q23" s="42" t="inlineStr"/>
    </row>
    <row r="24" ht="18" customHeight="1">
      <c r="A24" s="41" t="inlineStr">
        <is>
          <t>附屬業務-其他非民間支出</t>
        </is>
      </c>
      <c r="B24" s="42" t="n"/>
      <c r="C24" s="43" t="n">
        <v>0</v>
      </c>
      <c r="D24" s="43" t="n">
        <v>0</v>
      </c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3" t="n">
        <v>0</v>
      </c>
      <c r="L24" s="43" t="n">
        <v>0</v>
      </c>
      <c r="M24" s="43" t="n">
        <v>0</v>
      </c>
      <c r="N24" s="43" t="n">
        <v>0</v>
      </c>
      <c r="O24" s="44">
        <f>SUM(C24:N24)</f>
        <v/>
      </c>
      <c r="P24" s="43" t="n">
        <v>0</v>
      </c>
      <c r="Q24" s="42" t="inlineStr"/>
    </row>
    <row r="25" ht="18" customHeight="1">
      <c r="A25" s="41" t="inlineStr">
        <is>
          <t>附屬業務-其他民間支出</t>
        </is>
      </c>
      <c r="B25" s="42" t="n"/>
      <c r="C25" s="43" t="n">
        <v>0</v>
      </c>
      <c r="D25" s="43" t="n">
        <v>0</v>
      </c>
      <c r="E25" s="43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43" t="n">
        <v>0</v>
      </c>
      <c r="K25" s="43" t="n">
        <v>0</v>
      </c>
      <c r="L25" s="43" t="n">
        <v>0</v>
      </c>
      <c r="M25" s="43" t="n">
        <v>0</v>
      </c>
      <c r="N25" s="43" t="n">
        <v>0</v>
      </c>
      <c r="O25" s="44">
        <f>SUM(C25:N25)</f>
        <v/>
      </c>
      <c r="P25" s="43" t="n">
        <v>0</v>
      </c>
      <c r="Q25" s="42" t="inlineStr"/>
    </row>
    <row r="26" ht="18" customHeight="1">
      <c r="A26" s="45" t="inlineStr">
        <is>
          <t>其他小計(自民間)支出</t>
        </is>
      </c>
      <c r="B26" s="46" t="n"/>
      <c r="C26" s="44">
        <f>SUM(C23,C24,C25)</f>
        <v/>
      </c>
      <c r="D26" s="44">
        <f>SUM(D23,D24,D25)</f>
        <v/>
      </c>
      <c r="E26" s="44">
        <f>SUM(E23,E24,E25)</f>
        <v/>
      </c>
      <c r="F26" s="44">
        <f>SUM(F23,F24,F25)</f>
        <v/>
      </c>
      <c r="G26" s="44">
        <f>SUM(G23,G24,G25)</f>
        <v/>
      </c>
      <c r="H26" s="44">
        <f>SUM(H23,H24,H25)</f>
        <v/>
      </c>
      <c r="I26" s="44">
        <f>SUM(I23,I24,I25)</f>
        <v/>
      </c>
      <c r="J26" s="44">
        <f>SUM(J23,J24,J25)</f>
        <v/>
      </c>
      <c r="K26" s="44">
        <f>SUM(K23,K24,K25)</f>
        <v/>
      </c>
      <c r="L26" s="44">
        <f>SUM(L23,L24,L25)</f>
        <v/>
      </c>
      <c r="M26" s="44">
        <f>SUM(M23,M24,M25)</f>
        <v/>
      </c>
      <c r="N26" s="44">
        <f>SUM(N23,N24,N25)</f>
        <v/>
      </c>
      <c r="O26" s="47">
        <f>SUM(C26:N26)</f>
        <v/>
      </c>
      <c r="P26" s="43" t="n">
        <v>0</v>
      </c>
      <c r="Q26" s="48">
        <f>IF(P26=0,"-",O26/P26)</f>
        <v/>
      </c>
    </row>
    <row r="27" ht="18" customHeight="1">
      <c r="A27" s="9" t="inlineStr">
        <is>
          <t>支出合計</t>
        </is>
      </c>
      <c r="B27" s="56" t="n"/>
      <c r="C27" s="11">
        <f>SUM(C16,C17,C18,C19,C20,C21,C22)</f>
        <v/>
      </c>
      <c r="D27" s="11">
        <f>SUM(D16,D17,D18,D19,D20,D21,D22)</f>
        <v/>
      </c>
      <c r="E27" s="11">
        <f>SUM(E16,E17,E18,E19,E20,E21,E22)</f>
        <v/>
      </c>
      <c r="F27" s="11">
        <f>SUM(F16,F17,F18,F19,F20,F21,F22)</f>
        <v/>
      </c>
      <c r="G27" s="11">
        <f>SUM(G16,G17,G18,G19,G20,G21,G22)</f>
        <v/>
      </c>
      <c r="H27" s="11">
        <f>SUM(H16,H17,H18,H19,H20,H21,H22)</f>
        <v/>
      </c>
      <c r="I27" s="11">
        <f>SUM(I16,I17,I18,I19,I20,I21,I22)</f>
        <v/>
      </c>
      <c r="J27" s="11">
        <f>SUM(J16,J17,J18,J19,J20,J21,J22)</f>
        <v/>
      </c>
      <c r="K27" s="11">
        <f>SUM(K16,K17,K18,K19,K20,K21,K22)</f>
        <v/>
      </c>
      <c r="L27" s="11">
        <f>SUM(L16,L17,L18,L19,L20,L21,L22)</f>
        <v/>
      </c>
      <c r="M27" s="11">
        <f>SUM(M16,M17,M18,M19,M20,M21,M22)</f>
        <v/>
      </c>
      <c r="N27" s="11">
        <f>SUM(N16,N17,N18,N19,N20,N21,N22)</f>
        <v/>
      </c>
      <c r="O27" s="29">
        <f>SUM(C27:N27)</f>
        <v/>
      </c>
      <c r="P27" s="10" t="n">
        <v>0</v>
      </c>
      <c r="Q27" s="12">
        <f>IF(P27=0,"-",O27/P27)</f>
        <v/>
      </c>
    </row>
    <row r="28" ht="22" customHeight="1">
      <c r="A28" s="13" t="inlineStr">
        <is>
          <t>收支差額 (收入-支出)</t>
        </is>
      </c>
      <c r="B28" s="57" t="inlineStr"/>
      <c r="C28" s="30">
        <f>C13-C27</f>
        <v/>
      </c>
      <c r="D28" s="30">
        <f>D13-D27</f>
        <v/>
      </c>
      <c r="E28" s="30">
        <f>E13-E27</f>
        <v/>
      </c>
      <c r="F28" s="30">
        <f>F13-F27</f>
        <v/>
      </c>
      <c r="G28" s="30">
        <f>G13-G27</f>
        <v/>
      </c>
      <c r="H28" s="30">
        <f>H13-H27</f>
        <v/>
      </c>
      <c r="I28" s="30">
        <f>I13-I27</f>
        <v/>
      </c>
      <c r="J28" s="30">
        <f>J13-J27</f>
        <v/>
      </c>
      <c r="K28" s="30">
        <f>K13-K27</f>
        <v/>
      </c>
      <c r="L28" s="30">
        <f>L13-L27</f>
        <v/>
      </c>
      <c r="M28" s="30">
        <f>M13-M27</f>
        <v/>
      </c>
      <c r="N28" s="30">
        <f>N13-N27</f>
        <v/>
      </c>
      <c r="O28" s="30">
        <f>O13-O27</f>
        <v/>
      </c>
      <c r="P28" s="58" t="inlineStr"/>
      <c r="Q28" s="16">
        <f>IF(P13=0,"-",O28/P13)</f>
        <v/>
      </c>
    </row>
    <row r="30" ht="20" customHeight="1">
      <c r="A30" s="59" t="inlineStr">
        <is>
          <t>【已申請未核銷費用】（截至當月底止）</t>
        </is>
      </c>
    </row>
    <row r="31" ht="18" customHeight="1">
      <c r="A31" s="60" t="inlineStr">
        <is>
          <t>業務費(未核銷)</t>
        </is>
      </c>
      <c r="B31" s="61" t="inlineStr"/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9">
        <f>SUM(C31:N31)</f>
        <v/>
      </c>
      <c r="P31" s="62" t="inlineStr"/>
      <c r="Q31" s="61" t="inlineStr"/>
    </row>
    <row r="32" ht="18" customHeight="1">
      <c r="A32" s="60" t="inlineStr">
        <is>
          <t>旅運費(未核銷)</t>
        </is>
      </c>
      <c r="B32" s="61" t="inlineStr"/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9">
        <f>SUM(C32:N32)</f>
        <v/>
      </c>
      <c r="P32" s="62" t="inlineStr"/>
      <c r="Q32" s="61" t="inlineStr"/>
    </row>
    <row r="33" ht="18" customHeight="1">
      <c r="A33" s="60" t="inlineStr">
        <is>
          <t>材料費(未核銷)</t>
        </is>
      </c>
      <c r="B33" s="61" t="inlineStr"/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9">
        <f>SUM(C33:N33)</f>
        <v/>
      </c>
      <c r="P33" s="62" t="inlineStr"/>
      <c r="Q33" s="61" t="inlineStr"/>
    </row>
    <row r="34" ht="18" customHeight="1">
      <c r="A34" s="60" t="inlineStr">
        <is>
          <t>維護費(未核銷)</t>
        </is>
      </c>
      <c r="B34" s="61" t="inlineStr"/>
      <c r="C34" s="18" t="n">
        <v>0</v>
      </c>
      <c r="D34" s="18" t="n">
        <v>0</v>
      </c>
      <c r="E34" s="18" t="n">
        <v>0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9">
        <f>SUM(C34:N34)</f>
        <v/>
      </c>
      <c r="P34" s="62" t="inlineStr"/>
      <c r="Q34" s="61" t="inlineStr"/>
    </row>
    <row r="35" ht="18" customHeight="1">
      <c r="A35" s="17" t="inlineStr">
        <is>
          <t>未核銷合計</t>
        </is>
      </c>
      <c r="B35" s="63" t="inlineStr"/>
      <c r="C35" s="31">
        <f>SUM(C31,C32,C33,C34)</f>
        <v/>
      </c>
      <c r="D35" s="31">
        <f>SUM(D31,D32,D33,D34)</f>
        <v/>
      </c>
      <c r="E35" s="31">
        <f>SUM(E31,E32,E33,E34)</f>
        <v/>
      </c>
      <c r="F35" s="31">
        <f>SUM(F31,F32,F33,F34)</f>
        <v/>
      </c>
      <c r="G35" s="31">
        <f>SUM(G31,G32,G33,G34)</f>
        <v/>
      </c>
      <c r="H35" s="31">
        <f>SUM(H31,H32,H33,H34)</f>
        <v/>
      </c>
      <c r="I35" s="31">
        <f>SUM(I31,I32,I33,I34)</f>
        <v/>
      </c>
      <c r="J35" s="31">
        <f>SUM(J31,J32,J33,J34)</f>
        <v/>
      </c>
      <c r="K35" s="31">
        <f>SUM(K31,K32,K33,K34)</f>
        <v/>
      </c>
      <c r="L35" s="31">
        <f>SUM(L31,L32,L33,L34)</f>
        <v/>
      </c>
      <c r="M35" s="31">
        <f>SUM(M31,M32,M33,M34)</f>
        <v/>
      </c>
      <c r="N35" s="31">
        <f>SUM(N31,N32,N33,N34)</f>
        <v/>
      </c>
      <c r="O35" s="31">
        <f>SUM(C35:N35)</f>
        <v/>
      </c>
      <c r="P35" s="64" t="inlineStr"/>
      <c r="Q35" s="63" t="inlineStr"/>
    </row>
    <row r="37" ht="20" customHeight="1">
      <c r="A37" s="65" t="inlineStr">
        <is>
          <t>【合約進度追蹤】</t>
        </is>
      </c>
    </row>
    <row r="38" ht="18" customHeight="1">
      <c r="A38" s="66" t="inlineStr">
        <is>
          <t>本月新增簽約件數</t>
        </is>
      </c>
      <c r="B38" s="67" t="inlineStr"/>
      <c r="C38" s="68" t="n">
        <v>0</v>
      </c>
      <c r="D38" s="68" t="n">
        <v>0</v>
      </c>
      <c r="E38" s="68" t="n">
        <v>0</v>
      </c>
      <c r="F38" s="68" t="n">
        <v>0</v>
      </c>
      <c r="G38" s="68" t="n">
        <v>0</v>
      </c>
      <c r="H38" s="68" t="n">
        <v>0</v>
      </c>
      <c r="I38" s="68" t="n">
        <v>0</v>
      </c>
      <c r="J38" s="68" t="n">
        <v>0</v>
      </c>
      <c r="K38" s="68" t="n">
        <v>0</v>
      </c>
      <c r="L38" s="68" t="n">
        <v>0</v>
      </c>
      <c r="M38" s="68" t="n">
        <v>0</v>
      </c>
      <c r="N38" s="68" t="n">
        <v>0</v>
      </c>
      <c r="O38" s="69" t="inlineStr"/>
      <c r="P38" s="70" t="inlineStr"/>
      <c r="Q38" s="67" t="inlineStr"/>
    </row>
    <row r="39" ht="18" customHeight="1">
      <c r="A39" s="66" t="inlineStr">
        <is>
          <t>本月新增簽約金額</t>
        </is>
      </c>
      <c r="B39" s="67" t="inlineStr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9" t="inlineStr"/>
      <c r="P39" s="70" t="inlineStr"/>
      <c r="Q39" s="67" t="inlineStr"/>
    </row>
    <row r="40" ht="18" customHeight="1">
      <c r="A40" s="66" t="inlineStr">
        <is>
          <t>上月延續-洽談件數</t>
        </is>
      </c>
      <c r="B40" s="67" t="inlineStr"/>
      <c r="C40" s="68" t="n">
        <v>0</v>
      </c>
      <c r="D40" s="68" t="n">
        <v>0</v>
      </c>
      <c r="E40" s="68" t="n">
        <v>0</v>
      </c>
      <c r="F40" s="68" t="n">
        <v>0</v>
      </c>
      <c r="G40" s="68" t="n">
        <v>0</v>
      </c>
      <c r="H40" s="68" t="n">
        <v>0</v>
      </c>
      <c r="I40" s="68" t="n">
        <v>0</v>
      </c>
      <c r="J40" s="68" t="n">
        <v>0</v>
      </c>
      <c r="K40" s="68" t="n">
        <v>0</v>
      </c>
      <c r="L40" s="68" t="n">
        <v>0</v>
      </c>
      <c r="M40" s="68" t="n">
        <v>0</v>
      </c>
      <c r="N40" s="68" t="n">
        <v>0</v>
      </c>
      <c r="O40" s="69" t="inlineStr"/>
      <c r="P40" s="70" t="inlineStr"/>
      <c r="Q40" s="67" t="inlineStr"/>
    </row>
    <row r="41" ht="18" customHeight="1">
      <c r="A41" s="66" t="inlineStr">
        <is>
          <t>上月延續-洽談金額</t>
        </is>
      </c>
      <c r="B41" s="67" t="inlineStr"/>
      <c r="C41" s="68" t="n">
        <v>0</v>
      </c>
      <c r="D41" s="68" t="n">
        <v>0</v>
      </c>
      <c r="E41" s="68" t="n">
        <v>0</v>
      </c>
      <c r="F41" s="68" t="n">
        <v>0</v>
      </c>
      <c r="G41" s="68" t="n">
        <v>0</v>
      </c>
      <c r="H41" s="68" t="n">
        <v>0</v>
      </c>
      <c r="I41" s="68" t="n">
        <v>0</v>
      </c>
      <c r="J41" s="68" t="n">
        <v>0</v>
      </c>
      <c r="K41" s="68" t="n">
        <v>0</v>
      </c>
      <c r="L41" s="68" t="n">
        <v>0</v>
      </c>
      <c r="M41" s="68" t="n">
        <v>0</v>
      </c>
      <c r="N41" s="68" t="n">
        <v>0</v>
      </c>
      <c r="O41" s="69" t="inlineStr"/>
      <c r="P41" s="70" t="inlineStr"/>
      <c r="Q41" s="67" t="inlineStr"/>
    </row>
    <row r="42" ht="18" customHeight="1">
      <c r="A42" s="66" t="inlineStr">
        <is>
          <t>上月延續-已簽約件數</t>
        </is>
      </c>
      <c r="B42" s="67" t="inlineStr"/>
      <c r="C42" s="68" t="n">
        <v>0</v>
      </c>
      <c r="D42" s="68" t="n">
        <v>0</v>
      </c>
      <c r="E42" s="68" t="n">
        <v>0</v>
      </c>
      <c r="F42" s="68" t="n">
        <v>0</v>
      </c>
      <c r="G42" s="68" t="n">
        <v>0</v>
      </c>
      <c r="H42" s="68" t="n">
        <v>0</v>
      </c>
      <c r="I42" s="68" t="n">
        <v>0</v>
      </c>
      <c r="J42" s="68" t="n">
        <v>0</v>
      </c>
      <c r="K42" s="68" t="n">
        <v>0</v>
      </c>
      <c r="L42" s="68" t="n">
        <v>0</v>
      </c>
      <c r="M42" s="68" t="n">
        <v>0</v>
      </c>
      <c r="N42" s="68" t="n">
        <v>0</v>
      </c>
      <c r="O42" s="69" t="inlineStr"/>
      <c r="P42" s="70" t="inlineStr"/>
      <c r="Q42" s="67" t="inlineStr"/>
    </row>
    <row r="43" ht="18" customHeight="1">
      <c r="A43" s="66" t="inlineStr">
        <is>
          <t>上月延續-已簽約金額</t>
        </is>
      </c>
      <c r="B43" s="67" t="inlineStr"/>
      <c r="C43" s="68" t="n">
        <v>0</v>
      </c>
      <c r="D43" s="68" t="n">
        <v>0</v>
      </c>
      <c r="E43" s="68" t="n">
        <v>0</v>
      </c>
      <c r="F43" s="68" t="n">
        <v>0</v>
      </c>
      <c r="G43" s="68" t="n">
        <v>0</v>
      </c>
      <c r="H43" s="68" t="n">
        <v>0</v>
      </c>
      <c r="I43" s="68" t="n">
        <v>0</v>
      </c>
      <c r="J43" s="68" t="n">
        <v>0</v>
      </c>
      <c r="K43" s="68" t="n">
        <v>0</v>
      </c>
      <c r="L43" s="68" t="n">
        <v>0</v>
      </c>
      <c r="M43" s="68" t="n">
        <v>0</v>
      </c>
      <c r="N43" s="68" t="n">
        <v>0</v>
      </c>
      <c r="O43" s="69" t="inlineStr"/>
      <c r="P43" s="70" t="inlineStr"/>
      <c r="Q43" s="67" t="inlineStr"/>
    </row>
    <row r="44" ht="18" customHeight="1">
      <c r="A44" s="66" t="inlineStr">
        <is>
          <t>本月完成件數</t>
        </is>
      </c>
      <c r="B44" s="67" t="inlineStr"/>
      <c r="C44" s="68" t="n">
        <v>0</v>
      </c>
      <c r="D44" s="68" t="n">
        <v>0</v>
      </c>
      <c r="E44" s="68" t="n">
        <v>0</v>
      </c>
      <c r="F44" s="68" t="n">
        <v>0</v>
      </c>
      <c r="G44" s="68" t="n">
        <v>0</v>
      </c>
      <c r="H44" s="68" t="n">
        <v>0</v>
      </c>
      <c r="I44" s="68" t="n">
        <v>0</v>
      </c>
      <c r="J44" s="68" t="n">
        <v>0</v>
      </c>
      <c r="K44" s="68" t="n">
        <v>0</v>
      </c>
      <c r="L44" s="68" t="n">
        <v>0</v>
      </c>
      <c r="M44" s="68" t="n">
        <v>0</v>
      </c>
      <c r="N44" s="68" t="n">
        <v>0</v>
      </c>
      <c r="O44" s="69" t="inlineStr"/>
      <c r="P44" s="70" t="inlineStr"/>
      <c r="Q44" s="67" t="inlineStr"/>
    </row>
    <row r="45" ht="18" customHeight="1">
      <c r="A45" s="66" t="inlineStr">
        <is>
          <t>累計簽約金額</t>
        </is>
      </c>
      <c r="B45" s="67" t="inlineStr"/>
      <c r="C45" s="71">
        <f>C39</f>
        <v/>
      </c>
      <c r="D45" s="71">
        <f>C45+D39</f>
        <v/>
      </c>
      <c r="E45" s="71">
        <f>D45+E39</f>
        <v/>
      </c>
      <c r="F45" s="71">
        <f>E45+F39</f>
        <v/>
      </c>
      <c r="G45" s="71">
        <f>F45+G39</f>
        <v/>
      </c>
      <c r="H45" s="71">
        <f>G45+H39</f>
        <v/>
      </c>
      <c r="I45" s="71">
        <f>H45+I39</f>
        <v/>
      </c>
      <c r="J45" s="71">
        <f>I45+J39</f>
        <v/>
      </c>
      <c r="K45" s="71">
        <f>J45+K39</f>
        <v/>
      </c>
      <c r="L45" s="71">
        <f>K45+L39</f>
        <v/>
      </c>
      <c r="M45" s="71">
        <f>L45+M39</f>
        <v/>
      </c>
      <c r="N45" s="71">
        <f>M45+N39</f>
        <v/>
      </c>
      <c r="O45" s="71">
        <f>N45</f>
        <v/>
      </c>
      <c r="P45" s="70" t="inlineStr"/>
      <c r="Q45" s="67" t="inlineStr"/>
    </row>
    <row r="46" ht="18" customHeight="1">
      <c r="A46" s="66" t="inlineStr">
        <is>
          <t>備註/客戶名稱</t>
        </is>
      </c>
      <c r="B46" s="67" t="inlineStr"/>
      <c r="C46" s="72" t="inlineStr"/>
      <c r="D46" s="72" t="inlineStr"/>
      <c r="E46" s="72" t="inlineStr"/>
      <c r="F46" s="72" t="inlineStr"/>
      <c r="G46" s="72" t="inlineStr"/>
      <c r="H46" s="72" t="inlineStr"/>
      <c r="I46" s="72" t="inlineStr"/>
      <c r="J46" s="72" t="inlineStr"/>
      <c r="K46" s="72" t="inlineStr"/>
      <c r="L46" s="72" t="inlineStr"/>
      <c r="M46" s="72" t="inlineStr"/>
      <c r="N46" s="72" t="inlineStr"/>
      <c r="O46" s="69" t="inlineStr"/>
      <c r="P46" s="70" t="inlineStr"/>
      <c r="Q46" s="67" t="inlineStr"/>
    </row>
  </sheetData>
  <mergeCells count="5">
    <mergeCell ref="A3:Q3"/>
    <mergeCell ref="A30:Q30"/>
    <mergeCell ref="A15:Q15"/>
    <mergeCell ref="A1:Q1"/>
    <mergeCell ref="A37:Q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20" customWidth="1" min="9" max="9"/>
    <col width="12" customWidth="1" min="10" max="10"/>
  </cols>
  <sheetData>
    <row r="1" ht="35" customHeight="1">
      <c r="A1" s="1" t="inlineStr">
        <is>
          <t>114年 合約簽約及洽談進度追蹤明細表</t>
        </is>
      </c>
    </row>
    <row r="2" ht="28" customHeight="1">
      <c r="A2" s="2" t="inlineStr">
        <is>
          <t>月份</t>
        </is>
      </c>
      <c r="B2" s="2" t="inlineStr">
        <is>
          <t>部門</t>
        </is>
      </c>
      <c r="C2" s="2" t="inlineStr">
        <is>
          <t>客戶/計畫名稱</t>
        </is>
      </c>
      <c r="D2" s="2" t="inlineStr">
        <is>
          <t>合約金額</t>
        </is>
      </c>
      <c r="E2" s="2" t="inlineStr">
        <is>
          <t>簽約日期</t>
        </is>
      </c>
      <c r="F2" s="2" t="inlineStr">
        <is>
          <t>預計完成日</t>
        </is>
      </c>
      <c r="G2" s="2" t="inlineStr">
        <is>
          <t>狀態</t>
        </is>
      </c>
      <c r="H2" s="2" t="inlineStr">
        <is>
          <t>本月實收金額</t>
        </is>
      </c>
      <c r="I2" s="2" t="inlineStr">
        <is>
          <t>備註</t>
        </is>
      </c>
      <c r="J2" s="2" t="inlineStr">
        <is>
          <t>延續至下月</t>
        </is>
      </c>
    </row>
    <row r="3" ht="22" customHeight="1">
      <c r="A3" s="73" t="inlineStr">
        <is>
          <t>1月</t>
        </is>
      </c>
    </row>
    <row r="4" ht="18" customHeight="1">
      <c r="A4" s="74" t="n">
        <v>1</v>
      </c>
      <c r="B4" s="75" t="inlineStr"/>
      <c r="C4" s="76" t="inlineStr"/>
      <c r="D4" s="77" t="n">
        <v>0</v>
      </c>
      <c r="E4" s="75" t="inlineStr"/>
      <c r="F4" s="75" t="inlineStr"/>
      <c r="G4" s="75" t="inlineStr"/>
      <c r="H4" s="77" t="n">
        <v>0</v>
      </c>
      <c r="I4" s="78" t="inlineStr"/>
      <c r="J4" s="75" t="inlineStr"/>
    </row>
    <row r="5" ht="18" customHeight="1">
      <c r="A5" s="79" t="n">
        <v>1</v>
      </c>
      <c r="B5" s="80" t="inlineStr"/>
      <c r="C5" s="81" t="inlineStr"/>
      <c r="D5" s="82" t="n">
        <v>0</v>
      </c>
      <c r="E5" s="80" t="inlineStr"/>
      <c r="F5" s="80" t="inlineStr"/>
      <c r="G5" s="80" t="inlineStr"/>
      <c r="H5" s="82" t="n">
        <v>0</v>
      </c>
      <c r="I5" s="83" t="inlineStr"/>
      <c r="J5" s="80" t="inlineStr"/>
    </row>
    <row r="6" ht="18" customHeight="1">
      <c r="A6" s="74" t="n">
        <v>1</v>
      </c>
      <c r="B6" s="75" t="inlineStr"/>
      <c r="C6" s="76" t="inlineStr"/>
      <c r="D6" s="77" t="n">
        <v>0</v>
      </c>
      <c r="E6" s="75" t="inlineStr"/>
      <c r="F6" s="75" t="inlineStr"/>
      <c r="G6" s="75" t="inlineStr"/>
      <c r="H6" s="77" t="n">
        <v>0</v>
      </c>
      <c r="I6" s="78" t="inlineStr"/>
      <c r="J6" s="75" t="inlineStr"/>
    </row>
    <row r="7" ht="18" customHeight="1">
      <c r="A7" s="79" t="n">
        <v>1</v>
      </c>
      <c r="B7" s="80" t="inlineStr"/>
      <c r="C7" s="81" t="inlineStr"/>
      <c r="D7" s="82" t="n">
        <v>0</v>
      </c>
      <c r="E7" s="80" t="inlineStr"/>
      <c r="F7" s="80" t="inlineStr"/>
      <c r="G7" s="80" t="inlineStr"/>
      <c r="H7" s="82" t="n">
        <v>0</v>
      </c>
      <c r="I7" s="83" t="inlineStr"/>
      <c r="J7" s="80" t="inlineStr"/>
    </row>
    <row r="8" ht="18" customHeight="1">
      <c r="A8" s="74" t="n">
        <v>1</v>
      </c>
      <c r="B8" s="75" t="inlineStr"/>
      <c r="C8" s="76" t="inlineStr"/>
      <c r="D8" s="77" t="n">
        <v>0</v>
      </c>
      <c r="E8" s="75" t="inlineStr"/>
      <c r="F8" s="75" t="inlineStr"/>
      <c r="G8" s="75" t="inlineStr"/>
      <c r="H8" s="77" t="n">
        <v>0</v>
      </c>
      <c r="I8" s="78" t="inlineStr"/>
      <c r="J8" s="75" t="inlineStr"/>
    </row>
    <row r="9" ht="18" customHeight="1">
      <c r="A9" s="79" t="n">
        <v>1</v>
      </c>
      <c r="B9" s="80" t="inlineStr"/>
      <c r="C9" s="81" t="inlineStr"/>
      <c r="D9" s="82" t="n">
        <v>0</v>
      </c>
      <c r="E9" s="80" t="inlineStr"/>
      <c r="F9" s="80" t="inlineStr"/>
      <c r="G9" s="80" t="inlineStr"/>
      <c r="H9" s="82" t="n">
        <v>0</v>
      </c>
      <c r="I9" s="83" t="inlineStr"/>
      <c r="J9" s="80" t="inlineStr"/>
    </row>
    <row r="10" ht="18" customHeight="1">
      <c r="A10" s="74" t="n">
        <v>1</v>
      </c>
      <c r="B10" s="75" t="inlineStr"/>
      <c r="C10" s="76" t="inlineStr"/>
      <c r="D10" s="77" t="n">
        <v>0</v>
      </c>
      <c r="E10" s="75" t="inlineStr"/>
      <c r="F10" s="75" t="inlineStr"/>
      <c r="G10" s="75" t="inlineStr"/>
      <c r="H10" s="77" t="n">
        <v>0</v>
      </c>
      <c r="I10" s="78" t="inlineStr"/>
      <c r="J10" s="75" t="inlineStr"/>
    </row>
    <row r="11" ht="18" customHeight="1">
      <c r="A11" s="79" t="n">
        <v>1</v>
      </c>
      <c r="B11" s="80" t="inlineStr"/>
      <c r="C11" s="81" t="inlineStr"/>
      <c r="D11" s="82" t="n">
        <v>0</v>
      </c>
      <c r="E11" s="80" t="inlineStr"/>
      <c r="F11" s="80" t="inlineStr"/>
      <c r="G11" s="80" t="inlineStr"/>
      <c r="H11" s="82" t="n">
        <v>0</v>
      </c>
      <c r="I11" s="83" t="inlineStr"/>
      <c r="J11" s="80" t="inlineStr"/>
    </row>
    <row r="12" ht="18" customHeight="1">
      <c r="A12" s="74" t="n">
        <v>1</v>
      </c>
      <c r="B12" s="75" t="inlineStr"/>
      <c r="C12" s="76" t="inlineStr"/>
      <c r="D12" s="77" t="n">
        <v>0</v>
      </c>
      <c r="E12" s="75" t="inlineStr"/>
      <c r="F12" s="75" t="inlineStr"/>
      <c r="G12" s="75" t="inlineStr"/>
      <c r="H12" s="77" t="n">
        <v>0</v>
      </c>
      <c r="I12" s="78" t="inlineStr"/>
      <c r="J12" s="75" t="inlineStr"/>
    </row>
    <row r="13" ht="18" customHeight="1">
      <c r="A13" s="79" t="n">
        <v>1</v>
      </c>
      <c r="B13" s="80" t="inlineStr"/>
      <c r="C13" s="81" t="inlineStr"/>
      <c r="D13" s="82" t="n">
        <v>0</v>
      </c>
      <c r="E13" s="80" t="inlineStr"/>
      <c r="F13" s="80" t="inlineStr"/>
      <c r="G13" s="80" t="inlineStr"/>
      <c r="H13" s="82" t="n">
        <v>0</v>
      </c>
      <c r="I13" s="83" t="inlineStr"/>
      <c r="J13" s="80" t="inlineStr"/>
    </row>
    <row r="14" ht="22" customHeight="1">
      <c r="A14" s="73" t="inlineStr">
        <is>
          <t>2月</t>
        </is>
      </c>
    </row>
    <row r="15" ht="18" customHeight="1">
      <c r="A15" s="74" t="n">
        <v>2</v>
      </c>
      <c r="B15" s="75" t="inlineStr"/>
      <c r="C15" s="76" t="inlineStr"/>
      <c r="D15" s="77" t="n">
        <v>0</v>
      </c>
      <c r="E15" s="75" t="inlineStr"/>
      <c r="F15" s="75" t="inlineStr"/>
      <c r="G15" s="75" t="inlineStr"/>
      <c r="H15" s="77" t="n">
        <v>0</v>
      </c>
      <c r="I15" s="78" t="inlineStr"/>
      <c r="J15" s="75" t="inlineStr"/>
    </row>
    <row r="16" ht="18" customHeight="1">
      <c r="A16" s="79" t="n">
        <v>2</v>
      </c>
      <c r="B16" s="80" t="inlineStr"/>
      <c r="C16" s="81" t="inlineStr"/>
      <c r="D16" s="82" t="n">
        <v>0</v>
      </c>
      <c r="E16" s="80" t="inlineStr"/>
      <c r="F16" s="80" t="inlineStr"/>
      <c r="G16" s="80" t="inlineStr"/>
      <c r="H16" s="82" t="n">
        <v>0</v>
      </c>
      <c r="I16" s="83" t="inlineStr"/>
      <c r="J16" s="80" t="inlineStr"/>
    </row>
    <row r="17" ht="18" customHeight="1">
      <c r="A17" s="74" t="n">
        <v>2</v>
      </c>
      <c r="B17" s="75" t="inlineStr"/>
      <c r="C17" s="76" t="inlineStr"/>
      <c r="D17" s="77" t="n">
        <v>0</v>
      </c>
      <c r="E17" s="75" t="inlineStr"/>
      <c r="F17" s="75" t="inlineStr"/>
      <c r="G17" s="75" t="inlineStr"/>
      <c r="H17" s="77" t="n">
        <v>0</v>
      </c>
      <c r="I17" s="78" t="inlineStr"/>
      <c r="J17" s="75" t="inlineStr"/>
    </row>
    <row r="18" ht="18" customHeight="1">
      <c r="A18" s="79" t="n">
        <v>2</v>
      </c>
      <c r="B18" s="80" t="inlineStr"/>
      <c r="C18" s="81" t="inlineStr"/>
      <c r="D18" s="82" t="n">
        <v>0</v>
      </c>
      <c r="E18" s="80" t="inlineStr"/>
      <c r="F18" s="80" t="inlineStr"/>
      <c r="G18" s="80" t="inlineStr"/>
      <c r="H18" s="82" t="n">
        <v>0</v>
      </c>
      <c r="I18" s="83" t="inlineStr"/>
      <c r="J18" s="80" t="inlineStr"/>
    </row>
    <row r="19" ht="18" customHeight="1">
      <c r="A19" s="74" t="n">
        <v>2</v>
      </c>
      <c r="B19" s="75" t="inlineStr"/>
      <c r="C19" s="76" t="inlineStr"/>
      <c r="D19" s="77" t="n">
        <v>0</v>
      </c>
      <c r="E19" s="75" t="inlineStr"/>
      <c r="F19" s="75" t="inlineStr"/>
      <c r="G19" s="75" t="inlineStr"/>
      <c r="H19" s="77" t="n">
        <v>0</v>
      </c>
      <c r="I19" s="78" t="inlineStr"/>
      <c r="J19" s="75" t="inlineStr"/>
    </row>
    <row r="20" ht="18" customHeight="1">
      <c r="A20" s="79" t="n">
        <v>2</v>
      </c>
      <c r="B20" s="80" t="inlineStr"/>
      <c r="C20" s="81" t="inlineStr"/>
      <c r="D20" s="82" t="n">
        <v>0</v>
      </c>
      <c r="E20" s="80" t="inlineStr"/>
      <c r="F20" s="80" t="inlineStr"/>
      <c r="G20" s="80" t="inlineStr"/>
      <c r="H20" s="82" t="n">
        <v>0</v>
      </c>
      <c r="I20" s="83" t="inlineStr"/>
      <c r="J20" s="80" t="inlineStr"/>
    </row>
    <row r="21" ht="18" customHeight="1">
      <c r="A21" s="74" t="n">
        <v>2</v>
      </c>
      <c r="B21" s="75" t="inlineStr"/>
      <c r="C21" s="76" t="inlineStr"/>
      <c r="D21" s="77" t="n">
        <v>0</v>
      </c>
      <c r="E21" s="75" t="inlineStr"/>
      <c r="F21" s="75" t="inlineStr"/>
      <c r="G21" s="75" t="inlineStr"/>
      <c r="H21" s="77" t="n">
        <v>0</v>
      </c>
      <c r="I21" s="78" t="inlineStr"/>
      <c r="J21" s="75" t="inlineStr"/>
    </row>
    <row r="22" ht="18" customHeight="1">
      <c r="A22" s="79" t="n">
        <v>2</v>
      </c>
      <c r="B22" s="80" t="inlineStr"/>
      <c r="C22" s="81" t="inlineStr"/>
      <c r="D22" s="82" t="n">
        <v>0</v>
      </c>
      <c r="E22" s="80" t="inlineStr"/>
      <c r="F22" s="80" t="inlineStr"/>
      <c r="G22" s="80" t="inlineStr"/>
      <c r="H22" s="82" t="n">
        <v>0</v>
      </c>
      <c r="I22" s="83" t="inlineStr"/>
      <c r="J22" s="80" t="inlineStr"/>
    </row>
    <row r="23" ht="18" customHeight="1">
      <c r="A23" s="74" t="n">
        <v>2</v>
      </c>
      <c r="B23" s="75" t="inlineStr"/>
      <c r="C23" s="76" t="inlineStr"/>
      <c r="D23" s="77" t="n">
        <v>0</v>
      </c>
      <c r="E23" s="75" t="inlineStr"/>
      <c r="F23" s="75" t="inlineStr"/>
      <c r="G23" s="75" t="inlineStr"/>
      <c r="H23" s="77" t="n">
        <v>0</v>
      </c>
      <c r="I23" s="78" t="inlineStr"/>
      <c r="J23" s="75" t="inlineStr"/>
    </row>
    <row r="24" ht="18" customHeight="1">
      <c r="A24" s="79" t="n">
        <v>2</v>
      </c>
      <c r="B24" s="80" t="inlineStr"/>
      <c r="C24" s="81" t="inlineStr"/>
      <c r="D24" s="82" t="n">
        <v>0</v>
      </c>
      <c r="E24" s="80" t="inlineStr"/>
      <c r="F24" s="80" t="inlineStr"/>
      <c r="G24" s="80" t="inlineStr"/>
      <c r="H24" s="82" t="n">
        <v>0</v>
      </c>
      <c r="I24" s="83" t="inlineStr"/>
      <c r="J24" s="80" t="inlineStr"/>
    </row>
    <row r="25" ht="22" customHeight="1">
      <c r="A25" s="73" t="inlineStr">
        <is>
          <t>3月</t>
        </is>
      </c>
    </row>
    <row r="26" ht="18" customHeight="1">
      <c r="A26" s="74" t="n">
        <v>3</v>
      </c>
      <c r="B26" s="75" t="inlineStr"/>
      <c r="C26" s="76" t="inlineStr"/>
      <c r="D26" s="77" t="n">
        <v>0</v>
      </c>
      <c r="E26" s="75" t="inlineStr"/>
      <c r="F26" s="75" t="inlineStr"/>
      <c r="G26" s="75" t="inlineStr"/>
      <c r="H26" s="77" t="n">
        <v>0</v>
      </c>
      <c r="I26" s="78" t="inlineStr"/>
      <c r="J26" s="75" t="inlineStr"/>
    </row>
    <row r="27" ht="18" customHeight="1">
      <c r="A27" s="79" t="n">
        <v>3</v>
      </c>
      <c r="B27" s="80" t="inlineStr"/>
      <c r="C27" s="81" t="inlineStr"/>
      <c r="D27" s="82" t="n">
        <v>0</v>
      </c>
      <c r="E27" s="80" t="inlineStr"/>
      <c r="F27" s="80" t="inlineStr"/>
      <c r="G27" s="80" t="inlineStr"/>
      <c r="H27" s="82" t="n">
        <v>0</v>
      </c>
      <c r="I27" s="83" t="inlineStr"/>
      <c r="J27" s="80" t="inlineStr"/>
    </row>
    <row r="28" ht="18" customHeight="1">
      <c r="A28" s="74" t="n">
        <v>3</v>
      </c>
      <c r="B28" s="75" t="inlineStr"/>
      <c r="C28" s="76" t="inlineStr"/>
      <c r="D28" s="77" t="n">
        <v>0</v>
      </c>
      <c r="E28" s="75" t="inlineStr"/>
      <c r="F28" s="75" t="inlineStr"/>
      <c r="G28" s="75" t="inlineStr"/>
      <c r="H28" s="77" t="n">
        <v>0</v>
      </c>
      <c r="I28" s="78" t="inlineStr"/>
      <c r="J28" s="75" t="inlineStr"/>
    </row>
    <row r="29" ht="18" customHeight="1">
      <c r="A29" s="79" t="n">
        <v>3</v>
      </c>
      <c r="B29" s="80" t="inlineStr"/>
      <c r="C29" s="81" t="inlineStr"/>
      <c r="D29" s="82" t="n">
        <v>0</v>
      </c>
      <c r="E29" s="80" t="inlineStr"/>
      <c r="F29" s="80" t="inlineStr"/>
      <c r="G29" s="80" t="inlineStr"/>
      <c r="H29" s="82" t="n">
        <v>0</v>
      </c>
      <c r="I29" s="83" t="inlineStr"/>
      <c r="J29" s="80" t="inlineStr"/>
    </row>
    <row r="30" ht="18" customHeight="1">
      <c r="A30" s="74" t="n">
        <v>3</v>
      </c>
      <c r="B30" s="75" t="inlineStr"/>
      <c r="C30" s="76" t="inlineStr"/>
      <c r="D30" s="77" t="n">
        <v>0</v>
      </c>
      <c r="E30" s="75" t="inlineStr"/>
      <c r="F30" s="75" t="inlineStr"/>
      <c r="G30" s="75" t="inlineStr"/>
      <c r="H30" s="77" t="n">
        <v>0</v>
      </c>
      <c r="I30" s="78" t="inlineStr"/>
      <c r="J30" s="75" t="inlineStr"/>
    </row>
    <row r="31" ht="18" customHeight="1">
      <c r="A31" s="79" t="n">
        <v>3</v>
      </c>
      <c r="B31" s="80" t="inlineStr"/>
      <c r="C31" s="81" t="inlineStr"/>
      <c r="D31" s="82" t="n">
        <v>0</v>
      </c>
      <c r="E31" s="80" t="inlineStr"/>
      <c r="F31" s="80" t="inlineStr"/>
      <c r="G31" s="80" t="inlineStr"/>
      <c r="H31" s="82" t="n">
        <v>0</v>
      </c>
      <c r="I31" s="83" t="inlineStr"/>
      <c r="J31" s="80" t="inlineStr"/>
    </row>
    <row r="32" ht="18" customHeight="1">
      <c r="A32" s="74" t="n">
        <v>3</v>
      </c>
      <c r="B32" s="75" t="inlineStr"/>
      <c r="C32" s="76" t="inlineStr"/>
      <c r="D32" s="77" t="n">
        <v>0</v>
      </c>
      <c r="E32" s="75" t="inlineStr"/>
      <c r="F32" s="75" t="inlineStr"/>
      <c r="G32" s="75" t="inlineStr"/>
      <c r="H32" s="77" t="n">
        <v>0</v>
      </c>
      <c r="I32" s="78" t="inlineStr"/>
      <c r="J32" s="75" t="inlineStr"/>
    </row>
    <row r="33" ht="18" customHeight="1">
      <c r="A33" s="79" t="n">
        <v>3</v>
      </c>
      <c r="B33" s="80" t="inlineStr"/>
      <c r="C33" s="81" t="inlineStr"/>
      <c r="D33" s="82" t="n">
        <v>0</v>
      </c>
      <c r="E33" s="80" t="inlineStr"/>
      <c r="F33" s="80" t="inlineStr"/>
      <c r="G33" s="80" t="inlineStr"/>
      <c r="H33" s="82" t="n">
        <v>0</v>
      </c>
      <c r="I33" s="83" t="inlineStr"/>
      <c r="J33" s="80" t="inlineStr"/>
    </row>
    <row r="34" ht="18" customHeight="1">
      <c r="A34" s="74" t="n">
        <v>3</v>
      </c>
      <c r="B34" s="75" t="inlineStr"/>
      <c r="C34" s="76" t="inlineStr"/>
      <c r="D34" s="77" t="n">
        <v>0</v>
      </c>
      <c r="E34" s="75" t="inlineStr"/>
      <c r="F34" s="75" t="inlineStr"/>
      <c r="G34" s="75" t="inlineStr"/>
      <c r="H34" s="77" t="n">
        <v>0</v>
      </c>
      <c r="I34" s="78" t="inlineStr"/>
      <c r="J34" s="75" t="inlineStr"/>
    </row>
    <row r="35" ht="18" customHeight="1">
      <c r="A35" s="79" t="n">
        <v>3</v>
      </c>
      <c r="B35" s="80" t="inlineStr"/>
      <c r="C35" s="81" t="inlineStr"/>
      <c r="D35" s="82" t="n">
        <v>0</v>
      </c>
      <c r="E35" s="80" t="inlineStr"/>
      <c r="F35" s="80" t="inlineStr"/>
      <c r="G35" s="80" t="inlineStr"/>
      <c r="H35" s="82" t="n">
        <v>0</v>
      </c>
      <c r="I35" s="83" t="inlineStr"/>
      <c r="J35" s="80" t="inlineStr"/>
    </row>
    <row r="36" ht="22" customHeight="1">
      <c r="A36" s="73" t="inlineStr">
        <is>
          <t>4月</t>
        </is>
      </c>
    </row>
    <row r="37" ht="18" customHeight="1">
      <c r="A37" s="74" t="n">
        <v>4</v>
      </c>
      <c r="B37" s="75" t="inlineStr"/>
      <c r="C37" s="76" t="inlineStr"/>
      <c r="D37" s="77" t="n">
        <v>0</v>
      </c>
      <c r="E37" s="75" t="inlineStr"/>
      <c r="F37" s="75" t="inlineStr"/>
      <c r="G37" s="75" t="inlineStr"/>
      <c r="H37" s="77" t="n">
        <v>0</v>
      </c>
      <c r="I37" s="78" t="inlineStr"/>
      <c r="J37" s="75" t="inlineStr"/>
    </row>
    <row r="38" ht="18" customHeight="1">
      <c r="A38" s="79" t="n">
        <v>4</v>
      </c>
      <c r="B38" s="80" t="inlineStr"/>
      <c r="C38" s="81" t="inlineStr"/>
      <c r="D38" s="82" t="n">
        <v>0</v>
      </c>
      <c r="E38" s="80" t="inlineStr"/>
      <c r="F38" s="80" t="inlineStr"/>
      <c r="G38" s="80" t="inlineStr"/>
      <c r="H38" s="82" t="n">
        <v>0</v>
      </c>
      <c r="I38" s="83" t="inlineStr"/>
      <c r="J38" s="80" t="inlineStr"/>
    </row>
    <row r="39" ht="18" customHeight="1">
      <c r="A39" s="74" t="n">
        <v>4</v>
      </c>
      <c r="B39" s="75" t="inlineStr"/>
      <c r="C39" s="76" t="inlineStr"/>
      <c r="D39" s="77" t="n">
        <v>0</v>
      </c>
      <c r="E39" s="75" t="inlineStr"/>
      <c r="F39" s="75" t="inlineStr"/>
      <c r="G39" s="75" t="inlineStr"/>
      <c r="H39" s="77" t="n">
        <v>0</v>
      </c>
      <c r="I39" s="78" t="inlineStr"/>
      <c r="J39" s="75" t="inlineStr"/>
    </row>
    <row r="40" ht="18" customHeight="1">
      <c r="A40" s="79" t="n">
        <v>4</v>
      </c>
      <c r="B40" s="80" t="inlineStr"/>
      <c r="C40" s="81" t="inlineStr"/>
      <c r="D40" s="82" t="n">
        <v>0</v>
      </c>
      <c r="E40" s="80" t="inlineStr"/>
      <c r="F40" s="80" t="inlineStr"/>
      <c r="G40" s="80" t="inlineStr"/>
      <c r="H40" s="82" t="n">
        <v>0</v>
      </c>
      <c r="I40" s="83" t="inlineStr"/>
      <c r="J40" s="80" t="inlineStr"/>
    </row>
    <row r="41" ht="18" customHeight="1">
      <c r="A41" s="74" t="n">
        <v>4</v>
      </c>
      <c r="B41" s="75" t="inlineStr"/>
      <c r="C41" s="76" t="inlineStr"/>
      <c r="D41" s="77" t="n">
        <v>0</v>
      </c>
      <c r="E41" s="75" t="inlineStr"/>
      <c r="F41" s="75" t="inlineStr"/>
      <c r="G41" s="75" t="inlineStr"/>
      <c r="H41" s="77" t="n">
        <v>0</v>
      </c>
      <c r="I41" s="78" t="inlineStr"/>
      <c r="J41" s="75" t="inlineStr"/>
    </row>
    <row r="42" ht="18" customHeight="1">
      <c r="A42" s="79" t="n">
        <v>4</v>
      </c>
      <c r="B42" s="80" t="inlineStr"/>
      <c r="C42" s="81" t="inlineStr"/>
      <c r="D42" s="82" t="n">
        <v>0</v>
      </c>
      <c r="E42" s="80" t="inlineStr"/>
      <c r="F42" s="80" t="inlineStr"/>
      <c r="G42" s="80" t="inlineStr"/>
      <c r="H42" s="82" t="n">
        <v>0</v>
      </c>
      <c r="I42" s="83" t="inlineStr"/>
      <c r="J42" s="80" t="inlineStr"/>
    </row>
    <row r="43" ht="18" customHeight="1">
      <c r="A43" s="74" t="n">
        <v>4</v>
      </c>
      <c r="B43" s="75" t="inlineStr"/>
      <c r="C43" s="76" t="inlineStr"/>
      <c r="D43" s="77" t="n">
        <v>0</v>
      </c>
      <c r="E43" s="75" t="inlineStr"/>
      <c r="F43" s="75" t="inlineStr"/>
      <c r="G43" s="75" t="inlineStr"/>
      <c r="H43" s="77" t="n">
        <v>0</v>
      </c>
      <c r="I43" s="78" t="inlineStr"/>
      <c r="J43" s="75" t="inlineStr"/>
    </row>
    <row r="44" ht="18" customHeight="1">
      <c r="A44" s="79" t="n">
        <v>4</v>
      </c>
      <c r="B44" s="80" t="inlineStr"/>
      <c r="C44" s="81" t="inlineStr"/>
      <c r="D44" s="82" t="n">
        <v>0</v>
      </c>
      <c r="E44" s="80" t="inlineStr"/>
      <c r="F44" s="80" t="inlineStr"/>
      <c r="G44" s="80" t="inlineStr"/>
      <c r="H44" s="82" t="n">
        <v>0</v>
      </c>
      <c r="I44" s="83" t="inlineStr"/>
      <c r="J44" s="80" t="inlineStr"/>
    </row>
    <row r="45" ht="18" customHeight="1">
      <c r="A45" s="74" t="n">
        <v>4</v>
      </c>
      <c r="B45" s="75" t="inlineStr"/>
      <c r="C45" s="76" t="inlineStr"/>
      <c r="D45" s="77" t="n">
        <v>0</v>
      </c>
      <c r="E45" s="75" t="inlineStr"/>
      <c r="F45" s="75" t="inlineStr"/>
      <c r="G45" s="75" t="inlineStr"/>
      <c r="H45" s="77" t="n">
        <v>0</v>
      </c>
      <c r="I45" s="78" t="inlineStr"/>
      <c r="J45" s="75" t="inlineStr"/>
    </row>
    <row r="46" ht="18" customHeight="1">
      <c r="A46" s="79" t="n">
        <v>4</v>
      </c>
      <c r="B46" s="80" t="inlineStr"/>
      <c r="C46" s="81" t="inlineStr"/>
      <c r="D46" s="82" t="n">
        <v>0</v>
      </c>
      <c r="E46" s="80" t="inlineStr"/>
      <c r="F46" s="80" t="inlineStr"/>
      <c r="G46" s="80" t="inlineStr"/>
      <c r="H46" s="82" t="n">
        <v>0</v>
      </c>
      <c r="I46" s="83" t="inlineStr"/>
      <c r="J46" s="80" t="inlineStr"/>
    </row>
    <row r="47" ht="22" customHeight="1">
      <c r="A47" s="73" t="inlineStr">
        <is>
          <t>5月</t>
        </is>
      </c>
    </row>
    <row r="48" ht="18" customHeight="1">
      <c r="A48" s="74" t="n">
        <v>5</v>
      </c>
      <c r="B48" s="75" t="inlineStr"/>
      <c r="C48" s="76" t="inlineStr"/>
      <c r="D48" s="77" t="n">
        <v>0</v>
      </c>
      <c r="E48" s="75" t="inlineStr"/>
      <c r="F48" s="75" t="inlineStr"/>
      <c r="G48" s="75" t="inlineStr"/>
      <c r="H48" s="77" t="n">
        <v>0</v>
      </c>
      <c r="I48" s="78" t="inlineStr"/>
      <c r="J48" s="75" t="inlineStr"/>
    </row>
    <row r="49" ht="18" customHeight="1">
      <c r="A49" s="79" t="n">
        <v>5</v>
      </c>
      <c r="B49" s="80" t="inlineStr"/>
      <c r="C49" s="81" t="inlineStr"/>
      <c r="D49" s="82" t="n">
        <v>0</v>
      </c>
      <c r="E49" s="80" t="inlineStr"/>
      <c r="F49" s="80" t="inlineStr"/>
      <c r="G49" s="80" t="inlineStr"/>
      <c r="H49" s="82" t="n">
        <v>0</v>
      </c>
      <c r="I49" s="83" t="inlineStr"/>
      <c r="J49" s="80" t="inlineStr"/>
    </row>
    <row r="50" ht="18" customHeight="1">
      <c r="A50" s="74" t="n">
        <v>5</v>
      </c>
      <c r="B50" s="75" t="inlineStr"/>
      <c r="C50" s="76" t="inlineStr"/>
      <c r="D50" s="77" t="n">
        <v>0</v>
      </c>
      <c r="E50" s="75" t="inlineStr"/>
      <c r="F50" s="75" t="inlineStr"/>
      <c r="G50" s="75" t="inlineStr"/>
      <c r="H50" s="77" t="n">
        <v>0</v>
      </c>
      <c r="I50" s="78" t="inlineStr"/>
      <c r="J50" s="75" t="inlineStr"/>
    </row>
    <row r="51" ht="18" customHeight="1">
      <c r="A51" s="79" t="n">
        <v>5</v>
      </c>
      <c r="B51" s="80" t="inlineStr"/>
      <c r="C51" s="81" t="inlineStr"/>
      <c r="D51" s="82" t="n">
        <v>0</v>
      </c>
      <c r="E51" s="80" t="inlineStr"/>
      <c r="F51" s="80" t="inlineStr"/>
      <c r="G51" s="80" t="inlineStr"/>
      <c r="H51" s="82" t="n">
        <v>0</v>
      </c>
      <c r="I51" s="83" t="inlineStr"/>
      <c r="J51" s="80" t="inlineStr"/>
    </row>
    <row r="52" ht="18" customHeight="1">
      <c r="A52" s="74" t="n">
        <v>5</v>
      </c>
      <c r="B52" s="75" t="inlineStr"/>
      <c r="C52" s="76" t="inlineStr"/>
      <c r="D52" s="77" t="n">
        <v>0</v>
      </c>
      <c r="E52" s="75" t="inlineStr"/>
      <c r="F52" s="75" t="inlineStr"/>
      <c r="G52" s="75" t="inlineStr"/>
      <c r="H52" s="77" t="n">
        <v>0</v>
      </c>
      <c r="I52" s="78" t="inlineStr"/>
      <c r="J52" s="75" t="inlineStr"/>
    </row>
    <row r="53" ht="18" customHeight="1">
      <c r="A53" s="79" t="n">
        <v>5</v>
      </c>
      <c r="B53" s="80" t="inlineStr"/>
      <c r="C53" s="81" t="inlineStr"/>
      <c r="D53" s="82" t="n">
        <v>0</v>
      </c>
      <c r="E53" s="80" t="inlineStr"/>
      <c r="F53" s="80" t="inlineStr"/>
      <c r="G53" s="80" t="inlineStr"/>
      <c r="H53" s="82" t="n">
        <v>0</v>
      </c>
      <c r="I53" s="83" t="inlineStr"/>
      <c r="J53" s="80" t="inlineStr"/>
    </row>
    <row r="54" ht="18" customHeight="1">
      <c r="A54" s="74" t="n">
        <v>5</v>
      </c>
      <c r="B54" s="75" t="inlineStr"/>
      <c r="C54" s="76" t="inlineStr"/>
      <c r="D54" s="77" t="n">
        <v>0</v>
      </c>
      <c r="E54" s="75" t="inlineStr"/>
      <c r="F54" s="75" t="inlineStr"/>
      <c r="G54" s="75" t="inlineStr"/>
      <c r="H54" s="77" t="n">
        <v>0</v>
      </c>
      <c r="I54" s="78" t="inlineStr"/>
      <c r="J54" s="75" t="inlineStr"/>
    </row>
    <row r="55" ht="18" customHeight="1">
      <c r="A55" s="79" t="n">
        <v>5</v>
      </c>
      <c r="B55" s="80" t="inlineStr"/>
      <c r="C55" s="81" t="inlineStr"/>
      <c r="D55" s="82" t="n">
        <v>0</v>
      </c>
      <c r="E55" s="80" t="inlineStr"/>
      <c r="F55" s="80" t="inlineStr"/>
      <c r="G55" s="80" t="inlineStr"/>
      <c r="H55" s="82" t="n">
        <v>0</v>
      </c>
      <c r="I55" s="83" t="inlineStr"/>
      <c r="J55" s="80" t="inlineStr"/>
    </row>
    <row r="56" ht="18" customHeight="1">
      <c r="A56" s="74" t="n">
        <v>5</v>
      </c>
      <c r="B56" s="75" t="inlineStr"/>
      <c r="C56" s="76" t="inlineStr"/>
      <c r="D56" s="77" t="n">
        <v>0</v>
      </c>
      <c r="E56" s="75" t="inlineStr"/>
      <c r="F56" s="75" t="inlineStr"/>
      <c r="G56" s="75" t="inlineStr"/>
      <c r="H56" s="77" t="n">
        <v>0</v>
      </c>
      <c r="I56" s="78" t="inlineStr"/>
      <c r="J56" s="75" t="inlineStr"/>
    </row>
    <row r="57" ht="18" customHeight="1">
      <c r="A57" s="79" t="n">
        <v>5</v>
      </c>
      <c r="B57" s="80" t="inlineStr"/>
      <c r="C57" s="81" t="inlineStr"/>
      <c r="D57" s="82" t="n">
        <v>0</v>
      </c>
      <c r="E57" s="80" t="inlineStr"/>
      <c r="F57" s="80" t="inlineStr"/>
      <c r="G57" s="80" t="inlineStr"/>
      <c r="H57" s="82" t="n">
        <v>0</v>
      </c>
      <c r="I57" s="83" t="inlineStr"/>
      <c r="J57" s="80" t="inlineStr"/>
    </row>
    <row r="58" ht="22" customHeight="1">
      <c r="A58" s="73" t="inlineStr">
        <is>
          <t>6月</t>
        </is>
      </c>
    </row>
    <row r="59" ht="18" customHeight="1">
      <c r="A59" s="74" t="n">
        <v>6</v>
      </c>
      <c r="B59" s="75" t="inlineStr"/>
      <c r="C59" s="76" t="inlineStr"/>
      <c r="D59" s="77" t="n">
        <v>0</v>
      </c>
      <c r="E59" s="75" t="inlineStr"/>
      <c r="F59" s="75" t="inlineStr"/>
      <c r="G59" s="75" t="inlineStr"/>
      <c r="H59" s="77" t="n">
        <v>0</v>
      </c>
      <c r="I59" s="78" t="inlineStr"/>
      <c r="J59" s="75" t="inlineStr"/>
    </row>
    <row r="60" ht="18" customHeight="1">
      <c r="A60" s="79" t="n">
        <v>6</v>
      </c>
      <c r="B60" s="80" t="inlineStr"/>
      <c r="C60" s="81" t="inlineStr"/>
      <c r="D60" s="82" t="n">
        <v>0</v>
      </c>
      <c r="E60" s="80" t="inlineStr"/>
      <c r="F60" s="80" t="inlineStr"/>
      <c r="G60" s="80" t="inlineStr"/>
      <c r="H60" s="82" t="n">
        <v>0</v>
      </c>
      <c r="I60" s="83" t="inlineStr"/>
      <c r="J60" s="80" t="inlineStr"/>
    </row>
    <row r="61" ht="18" customHeight="1">
      <c r="A61" s="74" t="n">
        <v>6</v>
      </c>
      <c r="B61" s="75" t="inlineStr"/>
      <c r="C61" s="76" t="inlineStr"/>
      <c r="D61" s="77" t="n">
        <v>0</v>
      </c>
      <c r="E61" s="75" t="inlineStr"/>
      <c r="F61" s="75" t="inlineStr"/>
      <c r="G61" s="75" t="inlineStr"/>
      <c r="H61" s="77" t="n">
        <v>0</v>
      </c>
      <c r="I61" s="78" t="inlineStr"/>
      <c r="J61" s="75" t="inlineStr"/>
    </row>
    <row r="62" ht="18" customHeight="1">
      <c r="A62" s="79" t="n">
        <v>6</v>
      </c>
      <c r="B62" s="80" t="inlineStr"/>
      <c r="C62" s="81" t="inlineStr"/>
      <c r="D62" s="82" t="n">
        <v>0</v>
      </c>
      <c r="E62" s="80" t="inlineStr"/>
      <c r="F62" s="80" t="inlineStr"/>
      <c r="G62" s="80" t="inlineStr"/>
      <c r="H62" s="82" t="n">
        <v>0</v>
      </c>
      <c r="I62" s="83" t="inlineStr"/>
      <c r="J62" s="80" t="inlineStr"/>
    </row>
    <row r="63" ht="18" customHeight="1">
      <c r="A63" s="74" t="n">
        <v>6</v>
      </c>
      <c r="B63" s="75" t="inlineStr"/>
      <c r="C63" s="76" t="inlineStr"/>
      <c r="D63" s="77" t="n">
        <v>0</v>
      </c>
      <c r="E63" s="75" t="inlineStr"/>
      <c r="F63" s="75" t="inlineStr"/>
      <c r="G63" s="75" t="inlineStr"/>
      <c r="H63" s="77" t="n">
        <v>0</v>
      </c>
      <c r="I63" s="78" t="inlineStr"/>
      <c r="J63" s="75" t="inlineStr"/>
    </row>
    <row r="64" ht="18" customHeight="1">
      <c r="A64" s="79" t="n">
        <v>6</v>
      </c>
      <c r="B64" s="80" t="inlineStr"/>
      <c r="C64" s="81" t="inlineStr"/>
      <c r="D64" s="82" t="n">
        <v>0</v>
      </c>
      <c r="E64" s="80" t="inlineStr"/>
      <c r="F64" s="80" t="inlineStr"/>
      <c r="G64" s="80" t="inlineStr"/>
      <c r="H64" s="82" t="n">
        <v>0</v>
      </c>
      <c r="I64" s="83" t="inlineStr"/>
      <c r="J64" s="80" t="inlineStr"/>
    </row>
    <row r="65" ht="18" customHeight="1">
      <c r="A65" s="74" t="n">
        <v>6</v>
      </c>
      <c r="B65" s="75" t="inlineStr"/>
      <c r="C65" s="76" t="inlineStr"/>
      <c r="D65" s="77" t="n">
        <v>0</v>
      </c>
      <c r="E65" s="75" t="inlineStr"/>
      <c r="F65" s="75" t="inlineStr"/>
      <c r="G65" s="75" t="inlineStr"/>
      <c r="H65" s="77" t="n">
        <v>0</v>
      </c>
      <c r="I65" s="78" t="inlineStr"/>
      <c r="J65" s="75" t="inlineStr"/>
    </row>
    <row r="66" ht="18" customHeight="1">
      <c r="A66" s="79" t="n">
        <v>6</v>
      </c>
      <c r="B66" s="80" t="inlineStr"/>
      <c r="C66" s="81" t="inlineStr"/>
      <c r="D66" s="82" t="n">
        <v>0</v>
      </c>
      <c r="E66" s="80" t="inlineStr"/>
      <c r="F66" s="80" t="inlineStr"/>
      <c r="G66" s="80" t="inlineStr"/>
      <c r="H66" s="82" t="n">
        <v>0</v>
      </c>
      <c r="I66" s="83" t="inlineStr"/>
      <c r="J66" s="80" t="inlineStr"/>
    </row>
    <row r="67" ht="18" customHeight="1">
      <c r="A67" s="74" t="n">
        <v>6</v>
      </c>
      <c r="B67" s="75" t="inlineStr"/>
      <c r="C67" s="76" t="inlineStr"/>
      <c r="D67" s="77" t="n">
        <v>0</v>
      </c>
      <c r="E67" s="75" t="inlineStr"/>
      <c r="F67" s="75" t="inlineStr"/>
      <c r="G67" s="75" t="inlineStr"/>
      <c r="H67" s="77" t="n">
        <v>0</v>
      </c>
      <c r="I67" s="78" t="inlineStr"/>
      <c r="J67" s="75" t="inlineStr"/>
    </row>
    <row r="68" ht="18" customHeight="1">
      <c r="A68" s="79" t="n">
        <v>6</v>
      </c>
      <c r="B68" s="80" t="inlineStr"/>
      <c r="C68" s="81" t="inlineStr"/>
      <c r="D68" s="82" t="n">
        <v>0</v>
      </c>
      <c r="E68" s="80" t="inlineStr"/>
      <c r="F68" s="80" t="inlineStr"/>
      <c r="G68" s="80" t="inlineStr"/>
      <c r="H68" s="82" t="n">
        <v>0</v>
      </c>
      <c r="I68" s="83" t="inlineStr"/>
      <c r="J68" s="80" t="inlineStr"/>
    </row>
    <row r="69" ht="22" customHeight="1">
      <c r="A69" s="73" t="inlineStr">
        <is>
          <t>7月</t>
        </is>
      </c>
    </row>
    <row r="70" ht="18" customHeight="1">
      <c r="A70" s="74" t="n">
        <v>7</v>
      </c>
      <c r="B70" s="75" t="inlineStr"/>
      <c r="C70" s="76" t="inlineStr"/>
      <c r="D70" s="77" t="n">
        <v>0</v>
      </c>
      <c r="E70" s="75" t="inlineStr"/>
      <c r="F70" s="75" t="inlineStr"/>
      <c r="G70" s="75" t="inlineStr"/>
      <c r="H70" s="77" t="n">
        <v>0</v>
      </c>
      <c r="I70" s="78" t="inlineStr"/>
      <c r="J70" s="75" t="inlineStr"/>
    </row>
    <row r="71" ht="18" customHeight="1">
      <c r="A71" s="79" t="n">
        <v>7</v>
      </c>
      <c r="B71" s="80" t="inlineStr"/>
      <c r="C71" s="81" t="inlineStr"/>
      <c r="D71" s="82" t="n">
        <v>0</v>
      </c>
      <c r="E71" s="80" t="inlineStr"/>
      <c r="F71" s="80" t="inlineStr"/>
      <c r="G71" s="80" t="inlineStr"/>
      <c r="H71" s="82" t="n">
        <v>0</v>
      </c>
      <c r="I71" s="83" t="inlineStr"/>
      <c r="J71" s="80" t="inlineStr"/>
    </row>
    <row r="72" ht="18" customHeight="1">
      <c r="A72" s="74" t="n">
        <v>7</v>
      </c>
      <c r="B72" s="75" t="inlineStr"/>
      <c r="C72" s="76" t="inlineStr"/>
      <c r="D72" s="77" t="n">
        <v>0</v>
      </c>
      <c r="E72" s="75" t="inlineStr"/>
      <c r="F72" s="75" t="inlineStr"/>
      <c r="G72" s="75" t="inlineStr"/>
      <c r="H72" s="77" t="n">
        <v>0</v>
      </c>
      <c r="I72" s="78" t="inlineStr"/>
      <c r="J72" s="75" t="inlineStr"/>
    </row>
    <row r="73" ht="18" customHeight="1">
      <c r="A73" s="79" t="n">
        <v>7</v>
      </c>
      <c r="B73" s="80" t="inlineStr"/>
      <c r="C73" s="81" t="inlineStr"/>
      <c r="D73" s="82" t="n">
        <v>0</v>
      </c>
      <c r="E73" s="80" t="inlineStr"/>
      <c r="F73" s="80" t="inlineStr"/>
      <c r="G73" s="80" t="inlineStr"/>
      <c r="H73" s="82" t="n">
        <v>0</v>
      </c>
      <c r="I73" s="83" t="inlineStr"/>
      <c r="J73" s="80" t="inlineStr"/>
    </row>
    <row r="74" ht="18" customHeight="1">
      <c r="A74" s="74" t="n">
        <v>7</v>
      </c>
      <c r="B74" s="75" t="inlineStr"/>
      <c r="C74" s="76" t="inlineStr"/>
      <c r="D74" s="77" t="n">
        <v>0</v>
      </c>
      <c r="E74" s="75" t="inlineStr"/>
      <c r="F74" s="75" t="inlineStr"/>
      <c r="G74" s="75" t="inlineStr"/>
      <c r="H74" s="77" t="n">
        <v>0</v>
      </c>
      <c r="I74" s="78" t="inlineStr"/>
      <c r="J74" s="75" t="inlineStr"/>
    </row>
    <row r="75" ht="18" customHeight="1">
      <c r="A75" s="79" t="n">
        <v>7</v>
      </c>
      <c r="B75" s="80" t="inlineStr"/>
      <c r="C75" s="81" t="inlineStr"/>
      <c r="D75" s="82" t="n">
        <v>0</v>
      </c>
      <c r="E75" s="80" t="inlineStr"/>
      <c r="F75" s="80" t="inlineStr"/>
      <c r="G75" s="80" t="inlineStr"/>
      <c r="H75" s="82" t="n">
        <v>0</v>
      </c>
      <c r="I75" s="83" t="inlineStr"/>
      <c r="J75" s="80" t="inlineStr"/>
    </row>
    <row r="76" ht="18" customHeight="1">
      <c r="A76" s="74" t="n">
        <v>7</v>
      </c>
      <c r="B76" s="75" t="inlineStr"/>
      <c r="C76" s="76" t="inlineStr"/>
      <c r="D76" s="77" t="n">
        <v>0</v>
      </c>
      <c r="E76" s="75" t="inlineStr"/>
      <c r="F76" s="75" t="inlineStr"/>
      <c r="G76" s="75" t="inlineStr"/>
      <c r="H76" s="77" t="n">
        <v>0</v>
      </c>
      <c r="I76" s="78" t="inlineStr"/>
      <c r="J76" s="75" t="inlineStr"/>
    </row>
    <row r="77" ht="18" customHeight="1">
      <c r="A77" s="79" t="n">
        <v>7</v>
      </c>
      <c r="B77" s="80" t="inlineStr"/>
      <c r="C77" s="81" t="inlineStr"/>
      <c r="D77" s="82" t="n">
        <v>0</v>
      </c>
      <c r="E77" s="80" t="inlineStr"/>
      <c r="F77" s="80" t="inlineStr"/>
      <c r="G77" s="80" t="inlineStr"/>
      <c r="H77" s="82" t="n">
        <v>0</v>
      </c>
      <c r="I77" s="83" t="inlineStr"/>
      <c r="J77" s="80" t="inlineStr"/>
    </row>
    <row r="78" ht="18" customHeight="1">
      <c r="A78" s="74" t="n">
        <v>7</v>
      </c>
      <c r="B78" s="75" t="inlineStr"/>
      <c r="C78" s="76" t="inlineStr"/>
      <c r="D78" s="77" t="n">
        <v>0</v>
      </c>
      <c r="E78" s="75" t="inlineStr"/>
      <c r="F78" s="75" t="inlineStr"/>
      <c r="G78" s="75" t="inlineStr"/>
      <c r="H78" s="77" t="n">
        <v>0</v>
      </c>
      <c r="I78" s="78" t="inlineStr"/>
      <c r="J78" s="75" t="inlineStr"/>
    </row>
    <row r="79" ht="18" customHeight="1">
      <c r="A79" s="79" t="n">
        <v>7</v>
      </c>
      <c r="B79" s="80" t="inlineStr"/>
      <c r="C79" s="81" t="inlineStr"/>
      <c r="D79" s="82" t="n">
        <v>0</v>
      </c>
      <c r="E79" s="80" t="inlineStr"/>
      <c r="F79" s="80" t="inlineStr"/>
      <c r="G79" s="80" t="inlineStr"/>
      <c r="H79" s="82" t="n">
        <v>0</v>
      </c>
      <c r="I79" s="83" t="inlineStr"/>
      <c r="J79" s="80" t="inlineStr"/>
    </row>
    <row r="80" ht="22" customHeight="1">
      <c r="A80" s="73" t="inlineStr">
        <is>
          <t>8月</t>
        </is>
      </c>
    </row>
    <row r="81" ht="18" customHeight="1">
      <c r="A81" s="74" t="n">
        <v>8</v>
      </c>
      <c r="B81" s="75" t="inlineStr"/>
      <c r="C81" s="76" t="inlineStr"/>
      <c r="D81" s="77" t="n">
        <v>0</v>
      </c>
      <c r="E81" s="75" t="inlineStr"/>
      <c r="F81" s="75" t="inlineStr"/>
      <c r="G81" s="75" t="inlineStr"/>
      <c r="H81" s="77" t="n">
        <v>0</v>
      </c>
      <c r="I81" s="78" t="inlineStr"/>
      <c r="J81" s="75" t="inlineStr"/>
    </row>
    <row r="82" ht="18" customHeight="1">
      <c r="A82" s="79" t="n">
        <v>8</v>
      </c>
      <c r="B82" s="80" t="inlineStr"/>
      <c r="C82" s="81" t="inlineStr"/>
      <c r="D82" s="82" t="n">
        <v>0</v>
      </c>
      <c r="E82" s="80" t="inlineStr"/>
      <c r="F82" s="80" t="inlineStr"/>
      <c r="G82" s="80" t="inlineStr"/>
      <c r="H82" s="82" t="n">
        <v>0</v>
      </c>
      <c r="I82" s="83" t="inlineStr"/>
      <c r="J82" s="80" t="inlineStr"/>
    </row>
    <row r="83" ht="18" customHeight="1">
      <c r="A83" s="74" t="n">
        <v>8</v>
      </c>
      <c r="B83" s="75" t="inlineStr"/>
      <c r="C83" s="76" t="inlineStr"/>
      <c r="D83" s="77" t="n">
        <v>0</v>
      </c>
      <c r="E83" s="75" t="inlineStr"/>
      <c r="F83" s="75" t="inlineStr"/>
      <c r="G83" s="75" t="inlineStr"/>
      <c r="H83" s="77" t="n">
        <v>0</v>
      </c>
      <c r="I83" s="78" t="inlineStr"/>
      <c r="J83" s="75" t="inlineStr"/>
    </row>
    <row r="84" ht="18" customHeight="1">
      <c r="A84" s="79" t="n">
        <v>8</v>
      </c>
      <c r="B84" s="80" t="inlineStr"/>
      <c r="C84" s="81" t="inlineStr"/>
      <c r="D84" s="82" t="n">
        <v>0</v>
      </c>
      <c r="E84" s="80" t="inlineStr"/>
      <c r="F84" s="80" t="inlineStr"/>
      <c r="G84" s="80" t="inlineStr"/>
      <c r="H84" s="82" t="n">
        <v>0</v>
      </c>
      <c r="I84" s="83" t="inlineStr"/>
      <c r="J84" s="80" t="inlineStr"/>
    </row>
    <row r="85" ht="18" customHeight="1">
      <c r="A85" s="74" t="n">
        <v>8</v>
      </c>
      <c r="B85" s="75" t="inlineStr"/>
      <c r="C85" s="76" t="inlineStr"/>
      <c r="D85" s="77" t="n">
        <v>0</v>
      </c>
      <c r="E85" s="75" t="inlineStr"/>
      <c r="F85" s="75" t="inlineStr"/>
      <c r="G85" s="75" t="inlineStr"/>
      <c r="H85" s="77" t="n">
        <v>0</v>
      </c>
      <c r="I85" s="78" t="inlineStr"/>
      <c r="J85" s="75" t="inlineStr"/>
    </row>
    <row r="86" ht="18" customHeight="1">
      <c r="A86" s="79" t="n">
        <v>8</v>
      </c>
      <c r="B86" s="80" t="inlineStr"/>
      <c r="C86" s="81" t="inlineStr"/>
      <c r="D86" s="82" t="n">
        <v>0</v>
      </c>
      <c r="E86" s="80" t="inlineStr"/>
      <c r="F86" s="80" t="inlineStr"/>
      <c r="G86" s="80" t="inlineStr"/>
      <c r="H86" s="82" t="n">
        <v>0</v>
      </c>
      <c r="I86" s="83" t="inlineStr"/>
      <c r="J86" s="80" t="inlineStr"/>
    </row>
    <row r="87" ht="18" customHeight="1">
      <c r="A87" s="74" t="n">
        <v>8</v>
      </c>
      <c r="B87" s="75" t="inlineStr"/>
      <c r="C87" s="76" t="inlineStr"/>
      <c r="D87" s="77" t="n">
        <v>0</v>
      </c>
      <c r="E87" s="75" t="inlineStr"/>
      <c r="F87" s="75" t="inlineStr"/>
      <c r="G87" s="75" t="inlineStr"/>
      <c r="H87" s="77" t="n">
        <v>0</v>
      </c>
      <c r="I87" s="78" t="inlineStr"/>
      <c r="J87" s="75" t="inlineStr"/>
    </row>
    <row r="88" ht="18" customHeight="1">
      <c r="A88" s="79" t="n">
        <v>8</v>
      </c>
      <c r="B88" s="80" t="inlineStr"/>
      <c r="C88" s="81" t="inlineStr"/>
      <c r="D88" s="82" t="n">
        <v>0</v>
      </c>
      <c r="E88" s="80" t="inlineStr"/>
      <c r="F88" s="80" t="inlineStr"/>
      <c r="G88" s="80" t="inlineStr"/>
      <c r="H88" s="82" t="n">
        <v>0</v>
      </c>
      <c r="I88" s="83" t="inlineStr"/>
      <c r="J88" s="80" t="inlineStr"/>
    </row>
    <row r="89" ht="18" customHeight="1">
      <c r="A89" s="74" t="n">
        <v>8</v>
      </c>
      <c r="B89" s="75" t="inlineStr"/>
      <c r="C89" s="76" t="inlineStr"/>
      <c r="D89" s="77" t="n">
        <v>0</v>
      </c>
      <c r="E89" s="75" t="inlineStr"/>
      <c r="F89" s="75" t="inlineStr"/>
      <c r="G89" s="75" t="inlineStr"/>
      <c r="H89" s="77" t="n">
        <v>0</v>
      </c>
      <c r="I89" s="78" t="inlineStr"/>
      <c r="J89" s="75" t="inlineStr"/>
    </row>
    <row r="90" ht="18" customHeight="1">
      <c r="A90" s="79" t="n">
        <v>8</v>
      </c>
      <c r="B90" s="80" t="inlineStr"/>
      <c r="C90" s="81" t="inlineStr"/>
      <c r="D90" s="82" t="n">
        <v>0</v>
      </c>
      <c r="E90" s="80" t="inlineStr"/>
      <c r="F90" s="80" t="inlineStr"/>
      <c r="G90" s="80" t="inlineStr"/>
      <c r="H90" s="82" t="n">
        <v>0</v>
      </c>
      <c r="I90" s="83" t="inlineStr"/>
      <c r="J90" s="80" t="inlineStr"/>
    </row>
    <row r="91" ht="22" customHeight="1">
      <c r="A91" s="73" t="inlineStr">
        <is>
          <t>9月</t>
        </is>
      </c>
    </row>
    <row r="92" ht="18" customHeight="1">
      <c r="A92" s="74" t="n">
        <v>9</v>
      </c>
      <c r="B92" s="75" t="inlineStr"/>
      <c r="C92" s="76" t="inlineStr"/>
      <c r="D92" s="77" t="n">
        <v>0</v>
      </c>
      <c r="E92" s="75" t="inlineStr"/>
      <c r="F92" s="75" t="inlineStr"/>
      <c r="G92" s="75" t="inlineStr"/>
      <c r="H92" s="77" t="n">
        <v>0</v>
      </c>
      <c r="I92" s="78" t="inlineStr"/>
      <c r="J92" s="75" t="inlineStr"/>
    </row>
    <row r="93" ht="18" customHeight="1">
      <c r="A93" s="79" t="n">
        <v>9</v>
      </c>
      <c r="B93" s="80" t="inlineStr"/>
      <c r="C93" s="81" t="inlineStr"/>
      <c r="D93" s="82" t="n">
        <v>0</v>
      </c>
      <c r="E93" s="80" t="inlineStr"/>
      <c r="F93" s="80" t="inlineStr"/>
      <c r="G93" s="80" t="inlineStr"/>
      <c r="H93" s="82" t="n">
        <v>0</v>
      </c>
      <c r="I93" s="83" t="inlineStr"/>
      <c r="J93" s="80" t="inlineStr"/>
    </row>
    <row r="94" ht="18" customHeight="1">
      <c r="A94" s="74" t="n">
        <v>9</v>
      </c>
      <c r="B94" s="75" t="inlineStr"/>
      <c r="C94" s="76" t="inlineStr"/>
      <c r="D94" s="77" t="n">
        <v>0</v>
      </c>
      <c r="E94" s="75" t="inlineStr"/>
      <c r="F94" s="75" t="inlineStr"/>
      <c r="G94" s="75" t="inlineStr"/>
      <c r="H94" s="77" t="n">
        <v>0</v>
      </c>
      <c r="I94" s="78" t="inlineStr"/>
      <c r="J94" s="75" t="inlineStr"/>
    </row>
    <row r="95" ht="18" customHeight="1">
      <c r="A95" s="79" t="n">
        <v>9</v>
      </c>
      <c r="B95" s="80" t="inlineStr"/>
      <c r="C95" s="81" t="inlineStr"/>
      <c r="D95" s="82" t="n">
        <v>0</v>
      </c>
      <c r="E95" s="80" t="inlineStr"/>
      <c r="F95" s="80" t="inlineStr"/>
      <c r="G95" s="80" t="inlineStr"/>
      <c r="H95" s="82" t="n">
        <v>0</v>
      </c>
      <c r="I95" s="83" t="inlineStr"/>
      <c r="J95" s="80" t="inlineStr"/>
    </row>
    <row r="96" ht="18" customHeight="1">
      <c r="A96" s="74" t="n">
        <v>9</v>
      </c>
      <c r="B96" s="75" t="inlineStr"/>
      <c r="C96" s="76" t="inlineStr"/>
      <c r="D96" s="77" t="n">
        <v>0</v>
      </c>
      <c r="E96" s="75" t="inlineStr"/>
      <c r="F96" s="75" t="inlineStr"/>
      <c r="G96" s="75" t="inlineStr"/>
      <c r="H96" s="77" t="n">
        <v>0</v>
      </c>
      <c r="I96" s="78" t="inlineStr"/>
      <c r="J96" s="75" t="inlineStr"/>
    </row>
    <row r="97" ht="18" customHeight="1">
      <c r="A97" s="79" t="n">
        <v>9</v>
      </c>
      <c r="B97" s="80" t="inlineStr"/>
      <c r="C97" s="81" t="inlineStr"/>
      <c r="D97" s="82" t="n">
        <v>0</v>
      </c>
      <c r="E97" s="80" t="inlineStr"/>
      <c r="F97" s="80" t="inlineStr"/>
      <c r="G97" s="80" t="inlineStr"/>
      <c r="H97" s="82" t="n">
        <v>0</v>
      </c>
      <c r="I97" s="83" t="inlineStr"/>
      <c r="J97" s="80" t="inlineStr"/>
    </row>
    <row r="98" ht="18" customHeight="1">
      <c r="A98" s="74" t="n">
        <v>9</v>
      </c>
      <c r="B98" s="75" t="inlineStr"/>
      <c r="C98" s="76" t="inlineStr"/>
      <c r="D98" s="77" t="n">
        <v>0</v>
      </c>
      <c r="E98" s="75" t="inlineStr"/>
      <c r="F98" s="75" t="inlineStr"/>
      <c r="G98" s="75" t="inlineStr"/>
      <c r="H98" s="77" t="n">
        <v>0</v>
      </c>
      <c r="I98" s="78" t="inlineStr"/>
      <c r="J98" s="75" t="inlineStr"/>
    </row>
    <row r="99" ht="18" customHeight="1">
      <c r="A99" s="79" t="n">
        <v>9</v>
      </c>
      <c r="B99" s="80" t="inlineStr"/>
      <c r="C99" s="81" t="inlineStr"/>
      <c r="D99" s="82" t="n">
        <v>0</v>
      </c>
      <c r="E99" s="80" t="inlineStr"/>
      <c r="F99" s="80" t="inlineStr"/>
      <c r="G99" s="80" t="inlineStr"/>
      <c r="H99" s="82" t="n">
        <v>0</v>
      </c>
      <c r="I99" s="83" t="inlineStr"/>
      <c r="J99" s="80" t="inlineStr"/>
    </row>
    <row r="100" ht="18" customHeight="1">
      <c r="A100" s="74" t="n">
        <v>9</v>
      </c>
      <c r="B100" s="75" t="inlineStr"/>
      <c r="C100" s="76" t="inlineStr"/>
      <c r="D100" s="77" t="n">
        <v>0</v>
      </c>
      <c r="E100" s="75" t="inlineStr"/>
      <c r="F100" s="75" t="inlineStr"/>
      <c r="G100" s="75" t="inlineStr"/>
      <c r="H100" s="77" t="n">
        <v>0</v>
      </c>
      <c r="I100" s="78" t="inlineStr"/>
      <c r="J100" s="75" t="inlineStr"/>
    </row>
    <row r="101" ht="18" customHeight="1">
      <c r="A101" s="79" t="n">
        <v>9</v>
      </c>
      <c r="B101" s="80" t="inlineStr"/>
      <c r="C101" s="81" t="inlineStr"/>
      <c r="D101" s="82" t="n">
        <v>0</v>
      </c>
      <c r="E101" s="80" t="inlineStr"/>
      <c r="F101" s="80" t="inlineStr"/>
      <c r="G101" s="80" t="inlineStr"/>
      <c r="H101" s="82" t="n">
        <v>0</v>
      </c>
      <c r="I101" s="83" t="inlineStr"/>
      <c r="J101" s="80" t="inlineStr"/>
    </row>
    <row r="102" ht="22" customHeight="1">
      <c r="A102" s="73" t="inlineStr">
        <is>
          <t>10月</t>
        </is>
      </c>
    </row>
    <row r="103" ht="18" customHeight="1">
      <c r="A103" s="74" t="n">
        <v>10</v>
      </c>
      <c r="B103" s="75" t="inlineStr"/>
      <c r="C103" s="76" t="inlineStr"/>
      <c r="D103" s="77" t="n">
        <v>0</v>
      </c>
      <c r="E103" s="75" t="inlineStr"/>
      <c r="F103" s="75" t="inlineStr"/>
      <c r="G103" s="75" t="inlineStr"/>
      <c r="H103" s="77" t="n">
        <v>0</v>
      </c>
      <c r="I103" s="78" t="inlineStr"/>
      <c r="J103" s="75" t="inlineStr"/>
    </row>
    <row r="104" ht="18" customHeight="1">
      <c r="A104" s="79" t="n">
        <v>10</v>
      </c>
      <c r="B104" s="80" t="inlineStr"/>
      <c r="C104" s="81" t="inlineStr"/>
      <c r="D104" s="82" t="n">
        <v>0</v>
      </c>
      <c r="E104" s="80" t="inlineStr"/>
      <c r="F104" s="80" t="inlineStr"/>
      <c r="G104" s="80" t="inlineStr"/>
      <c r="H104" s="82" t="n">
        <v>0</v>
      </c>
      <c r="I104" s="83" t="inlineStr"/>
      <c r="J104" s="80" t="inlineStr"/>
    </row>
    <row r="105" ht="18" customHeight="1">
      <c r="A105" s="74" t="n">
        <v>10</v>
      </c>
      <c r="B105" s="75" t="inlineStr"/>
      <c r="C105" s="76" t="inlineStr"/>
      <c r="D105" s="77" t="n">
        <v>0</v>
      </c>
      <c r="E105" s="75" t="inlineStr"/>
      <c r="F105" s="75" t="inlineStr"/>
      <c r="G105" s="75" t="inlineStr"/>
      <c r="H105" s="77" t="n">
        <v>0</v>
      </c>
      <c r="I105" s="78" t="inlineStr"/>
      <c r="J105" s="75" t="inlineStr"/>
    </row>
    <row r="106" ht="18" customHeight="1">
      <c r="A106" s="79" t="n">
        <v>10</v>
      </c>
      <c r="B106" s="80" t="inlineStr"/>
      <c r="C106" s="81" t="inlineStr"/>
      <c r="D106" s="82" t="n">
        <v>0</v>
      </c>
      <c r="E106" s="80" t="inlineStr"/>
      <c r="F106" s="80" t="inlineStr"/>
      <c r="G106" s="80" t="inlineStr"/>
      <c r="H106" s="82" t="n">
        <v>0</v>
      </c>
      <c r="I106" s="83" t="inlineStr"/>
      <c r="J106" s="80" t="inlineStr"/>
    </row>
    <row r="107" ht="18" customHeight="1">
      <c r="A107" s="74" t="n">
        <v>10</v>
      </c>
      <c r="B107" s="75" t="inlineStr"/>
      <c r="C107" s="76" t="inlineStr"/>
      <c r="D107" s="77" t="n">
        <v>0</v>
      </c>
      <c r="E107" s="75" t="inlineStr"/>
      <c r="F107" s="75" t="inlineStr"/>
      <c r="G107" s="75" t="inlineStr"/>
      <c r="H107" s="77" t="n">
        <v>0</v>
      </c>
      <c r="I107" s="78" t="inlineStr"/>
      <c r="J107" s="75" t="inlineStr"/>
    </row>
    <row r="108" ht="18" customHeight="1">
      <c r="A108" s="79" t="n">
        <v>10</v>
      </c>
      <c r="B108" s="80" t="inlineStr"/>
      <c r="C108" s="81" t="inlineStr"/>
      <c r="D108" s="82" t="n">
        <v>0</v>
      </c>
      <c r="E108" s="80" t="inlineStr"/>
      <c r="F108" s="80" t="inlineStr"/>
      <c r="G108" s="80" t="inlineStr"/>
      <c r="H108" s="82" t="n">
        <v>0</v>
      </c>
      <c r="I108" s="83" t="inlineStr"/>
      <c r="J108" s="80" t="inlineStr"/>
    </row>
    <row r="109" ht="18" customHeight="1">
      <c r="A109" s="74" t="n">
        <v>10</v>
      </c>
      <c r="B109" s="75" t="inlineStr"/>
      <c r="C109" s="76" t="inlineStr"/>
      <c r="D109" s="77" t="n">
        <v>0</v>
      </c>
      <c r="E109" s="75" t="inlineStr"/>
      <c r="F109" s="75" t="inlineStr"/>
      <c r="G109" s="75" t="inlineStr"/>
      <c r="H109" s="77" t="n">
        <v>0</v>
      </c>
      <c r="I109" s="78" t="inlineStr"/>
      <c r="J109" s="75" t="inlineStr"/>
    </row>
    <row r="110" ht="18" customHeight="1">
      <c r="A110" s="79" t="n">
        <v>10</v>
      </c>
      <c r="B110" s="80" t="inlineStr"/>
      <c r="C110" s="81" t="inlineStr"/>
      <c r="D110" s="82" t="n">
        <v>0</v>
      </c>
      <c r="E110" s="80" t="inlineStr"/>
      <c r="F110" s="80" t="inlineStr"/>
      <c r="G110" s="80" t="inlineStr"/>
      <c r="H110" s="82" t="n">
        <v>0</v>
      </c>
      <c r="I110" s="83" t="inlineStr"/>
      <c r="J110" s="80" t="inlineStr"/>
    </row>
    <row r="111" ht="18" customHeight="1">
      <c r="A111" s="74" t="n">
        <v>10</v>
      </c>
      <c r="B111" s="75" t="inlineStr"/>
      <c r="C111" s="76" t="inlineStr"/>
      <c r="D111" s="77" t="n">
        <v>0</v>
      </c>
      <c r="E111" s="75" t="inlineStr"/>
      <c r="F111" s="75" t="inlineStr"/>
      <c r="G111" s="75" t="inlineStr"/>
      <c r="H111" s="77" t="n">
        <v>0</v>
      </c>
      <c r="I111" s="78" t="inlineStr"/>
      <c r="J111" s="75" t="inlineStr"/>
    </row>
    <row r="112" ht="18" customHeight="1">
      <c r="A112" s="79" t="n">
        <v>10</v>
      </c>
      <c r="B112" s="80" t="inlineStr"/>
      <c r="C112" s="81" t="inlineStr"/>
      <c r="D112" s="82" t="n">
        <v>0</v>
      </c>
      <c r="E112" s="80" t="inlineStr"/>
      <c r="F112" s="80" t="inlineStr"/>
      <c r="G112" s="80" t="inlineStr"/>
      <c r="H112" s="82" t="n">
        <v>0</v>
      </c>
      <c r="I112" s="83" t="inlineStr"/>
      <c r="J112" s="80" t="inlineStr"/>
    </row>
    <row r="113" ht="22" customHeight="1">
      <c r="A113" s="73" t="inlineStr">
        <is>
          <t>11月</t>
        </is>
      </c>
    </row>
    <row r="114" ht="18" customHeight="1">
      <c r="A114" s="74" t="n">
        <v>11</v>
      </c>
      <c r="B114" s="75" t="inlineStr"/>
      <c r="C114" s="76" t="inlineStr"/>
      <c r="D114" s="77" t="n">
        <v>0</v>
      </c>
      <c r="E114" s="75" t="inlineStr"/>
      <c r="F114" s="75" t="inlineStr"/>
      <c r="G114" s="75" t="inlineStr"/>
      <c r="H114" s="77" t="n">
        <v>0</v>
      </c>
      <c r="I114" s="78" t="inlineStr"/>
      <c r="J114" s="75" t="inlineStr"/>
    </row>
    <row r="115" ht="18" customHeight="1">
      <c r="A115" s="79" t="n">
        <v>11</v>
      </c>
      <c r="B115" s="80" t="inlineStr"/>
      <c r="C115" s="81" t="inlineStr"/>
      <c r="D115" s="82" t="n">
        <v>0</v>
      </c>
      <c r="E115" s="80" t="inlineStr"/>
      <c r="F115" s="80" t="inlineStr"/>
      <c r="G115" s="80" t="inlineStr"/>
      <c r="H115" s="82" t="n">
        <v>0</v>
      </c>
      <c r="I115" s="83" t="inlineStr"/>
      <c r="J115" s="80" t="inlineStr"/>
    </row>
    <row r="116" ht="18" customHeight="1">
      <c r="A116" s="74" t="n">
        <v>11</v>
      </c>
      <c r="B116" s="75" t="inlineStr"/>
      <c r="C116" s="76" t="inlineStr"/>
      <c r="D116" s="77" t="n">
        <v>0</v>
      </c>
      <c r="E116" s="75" t="inlineStr"/>
      <c r="F116" s="75" t="inlineStr"/>
      <c r="G116" s="75" t="inlineStr"/>
      <c r="H116" s="77" t="n">
        <v>0</v>
      </c>
      <c r="I116" s="78" t="inlineStr"/>
      <c r="J116" s="75" t="inlineStr"/>
    </row>
    <row r="117" ht="18" customHeight="1">
      <c r="A117" s="79" t="n">
        <v>11</v>
      </c>
      <c r="B117" s="80" t="inlineStr"/>
      <c r="C117" s="81" t="inlineStr"/>
      <c r="D117" s="82" t="n">
        <v>0</v>
      </c>
      <c r="E117" s="80" t="inlineStr"/>
      <c r="F117" s="80" t="inlineStr"/>
      <c r="G117" s="80" t="inlineStr"/>
      <c r="H117" s="82" t="n">
        <v>0</v>
      </c>
      <c r="I117" s="83" t="inlineStr"/>
      <c r="J117" s="80" t="inlineStr"/>
    </row>
    <row r="118" ht="18" customHeight="1">
      <c r="A118" s="74" t="n">
        <v>11</v>
      </c>
      <c r="B118" s="75" t="inlineStr"/>
      <c r="C118" s="76" t="inlineStr"/>
      <c r="D118" s="77" t="n">
        <v>0</v>
      </c>
      <c r="E118" s="75" t="inlineStr"/>
      <c r="F118" s="75" t="inlineStr"/>
      <c r="G118" s="75" t="inlineStr"/>
      <c r="H118" s="77" t="n">
        <v>0</v>
      </c>
      <c r="I118" s="78" t="inlineStr"/>
      <c r="J118" s="75" t="inlineStr"/>
    </row>
    <row r="119" ht="18" customHeight="1">
      <c r="A119" s="79" t="n">
        <v>11</v>
      </c>
      <c r="B119" s="80" t="inlineStr"/>
      <c r="C119" s="81" t="inlineStr"/>
      <c r="D119" s="82" t="n">
        <v>0</v>
      </c>
      <c r="E119" s="80" t="inlineStr"/>
      <c r="F119" s="80" t="inlineStr"/>
      <c r="G119" s="80" t="inlineStr"/>
      <c r="H119" s="82" t="n">
        <v>0</v>
      </c>
      <c r="I119" s="83" t="inlineStr"/>
      <c r="J119" s="80" t="inlineStr"/>
    </row>
    <row r="120" ht="18" customHeight="1">
      <c r="A120" s="74" t="n">
        <v>11</v>
      </c>
      <c r="B120" s="75" t="inlineStr"/>
      <c r="C120" s="76" t="inlineStr"/>
      <c r="D120" s="77" t="n">
        <v>0</v>
      </c>
      <c r="E120" s="75" t="inlineStr"/>
      <c r="F120" s="75" t="inlineStr"/>
      <c r="G120" s="75" t="inlineStr"/>
      <c r="H120" s="77" t="n">
        <v>0</v>
      </c>
      <c r="I120" s="78" t="inlineStr"/>
      <c r="J120" s="75" t="inlineStr"/>
    </row>
    <row r="121" ht="18" customHeight="1">
      <c r="A121" s="79" t="n">
        <v>11</v>
      </c>
      <c r="B121" s="80" t="inlineStr"/>
      <c r="C121" s="81" t="inlineStr"/>
      <c r="D121" s="82" t="n">
        <v>0</v>
      </c>
      <c r="E121" s="80" t="inlineStr"/>
      <c r="F121" s="80" t="inlineStr"/>
      <c r="G121" s="80" t="inlineStr"/>
      <c r="H121" s="82" t="n">
        <v>0</v>
      </c>
      <c r="I121" s="83" t="inlineStr"/>
      <c r="J121" s="80" t="inlineStr"/>
    </row>
    <row r="122" ht="18" customHeight="1">
      <c r="A122" s="74" t="n">
        <v>11</v>
      </c>
      <c r="B122" s="75" t="inlineStr"/>
      <c r="C122" s="76" t="inlineStr"/>
      <c r="D122" s="77" t="n">
        <v>0</v>
      </c>
      <c r="E122" s="75" t="inlineStr"/>
      <c r="F122" s="75" t="inlineStr"/>
      <c r="G122" s="75" t="inlineStr"/>
      <c r="H122" s="77" t="n">
        <v>0</v>
      </c>
      <c r="I122" s="78" t="inlineStr"/>
      <c r="J122" s="75" t="inlineStr"/>
    </row>
    <row r="123" ht="18" customHeight="1">
      <c r="A123" s="79" t="n">
        <v>11</v>
      </c>
      <c r="B123" s="80" t="inlineStr"/>
      <c r="C123" s="81" t="inlineStr"/>
      <c r="D123" s="82" t="n">
        <v>0</v>
      </c>
      <c r="E123" s="80" t="inlineStr"/>
      <c r="F123" s="80" t="inlineStr"/>
      <c r="G123" s="80" t="inlineStr"/>
      <c r="H123" s="82" t="n">
        <v>0</v>
      </c>
      <c r="I123" s="83" t="inlineStr"/>
      <c r="J123" s="80" t="inlineStr"/>
    </row>
    <row r="124" ht="22" customHeight="1">
      <c r="A124" s="73" t="inlineStr">
        <is>
          <t>12月</t>
        </is>
      </c>
    </row>
    <row r="125" ht="18" customHeight="1">
      <c r="A125" s="74" t="n">
        <v>12</v>
      </c>
      <c r="B125" s="75" t="inlineStr"/>
      <c r="C125" s="76" t="inlineStr"/>
      <c r="D125" s="77" t="n">
        <v>0</v>
      </c>
      <c r="E125" s="75" t="inlineStr"/>
      <c r="F125" s="75" t="inlineStr"/>
      <c r="G125" s="75" t="inlineStr"/>
      <c r="H125" s="77" t="n">
        <v>0</v>
      </c>
      <c r="I125" s="78" t="inlineStr"/>
      <c r="J125" s="75" t="inlineStr"/>
    </row>
    <row r="126" ht="18" customHeight="1">
      <c r="A126" s="79" t="n">
        <v>12</v>
      </c>
      <c r="B126" s="80" t="inlineStr"/>
      <c r="C126" s="81" t="inlineStr"/>
      <c r="D126" s="82" t="n">
        <v>0</v>
      </c>
      <c r="E126" s="80" t="inlineStr"/>
      <c r="F126" s="80" t="inlineStr"/>
      <c r="G126" s="80" t="inlineStr"/>
      <c r="H126" s="82" t="n">
        <v>0</v>
      </c>
      <c r="I126" s="83" t="inlineStr"/>
      <c r="J126" s="80" t="inlineStr"/>
    </row>
    <row r="127" ht="18" customHeight="1">
      <c r="A127" s="74" t="n">
        <v>12</v>
      </c>
      <c r="B127" s="75" t="inlineStr"/>
      <c r="C127" s="76" t="inlineStr"/>
      <c r="D127" s="77" t="n">
        <v>0</v>
      </c>
      <c r="E127" s="75" t="inlineStr"/>
      <c r="F127" s="75" t="inlineStr"/>
      <c r="G127" s="75" t="inlineStr"/>
      <c r="H127" s="77" t="n">
        <v>0</v>
      </c>
      <c r="I127" s="78" t="inlineStr"/>
      <c r="J127" s="75" t="inlineStr"/>
    </row>
    <row r="128" ht="18" customHeight="1">
      <c r="A128" s="79" t="n">
        <v>12</v>
      </c>
      <c r="B128" s="80" t="inlineStr"/>
      <c r="C128" s="81" t="inlineStr"/>
      <c r="D128" s="82" t="n">
        <v>0</v>
      </c>
      <c r="E128" s="80" t="inlineStr"/>
      <c r="F128" s="80" t="inlineStr"/>
      <c r="G128" s="80" t="inlineStr"/>
      <c r="H128" s="82" t="n">
        <v>0</v>
      </c>
      <c r="I128" s="83" t="inlineStr"/>
      <c r="J128" s="80" t="inlineStr"/>
    </row>
    <row r="129" ht="18" customHeight="1">
      <c r="A129" s="74" t="n">
        <v>12</v>
      </c>
      <c r="B129" s="75" t="inlineStr"/>
      <c r="C129" s="76" t="inlineStr"/>
      <c r="D129" s="77" t="n">
        <v>0</v>
      </c>
      <c r="E129" s="75" t="inlineStr"/>
      <c r="F129" s="75" t="inlineStr"/>
      <c r="G129" s="75" t="inlineStr"/>
      <c r="H129" s="77" t="n">
        <v>0</v>
      </c>
      <c r="I129" s="78" t="inlineStr"/>
      <c r="J129" s="75" t="inlineStr"/>
    </row>
    <row r="130" ht="18" customHeight="1">
      <c r="A130" s="79" t="n">
        <v>12</v>
      </c>
      <c r="B130" s="80" t="inlineStr"/>
      <c r="C130" s="81" t="inlineStr"/>
      <c r="D130" s="82" t="n">
        <v>0</v>
      </c>
      <c r="E130" s="80" t="inlineStr"/>
      <c r="F130" s="80" t="inlineStr"/>
      <c r="G130" s="80" t="inlineStr"/>
      <c r="H130" s="82" t="n">
        <v>0</v>
      </c>
      <c r="I130" s="83" t="inlineStr"/>
      <c r="J130" s="80" t="inlineStr"/>
    </row>
    <row r="131" ht="18" customHeight="1">
      <c r="A131" s="74" t="n">
        <v>12</v>
      </c>
      <c r="B131" s="75" t="inlineStr"/>
      <c r="C131" s="76" t="inlineStr"/>
      <c r="D131" s="77" t="n">
        <v>0</v>
      </c>
      <c r="E131" s="75" t="inlineStr"/>
      <c r="F131" s="75" t="inlineStr"/>
      <c r="G131" s="75" t="inlineStr"/>
      <c r="H131" s="77" t="n">
        <v>0</v>
      </c>
      <c r="I131" s="78" t="inlineStr"/>
      <c r="J131" s="75" t="inlineStr"/>
    </row>
    <row r="132" ht="18" customHeight="1">
      <c r="A132" s="79" t="n">
        <v>12</v>
      </c>
      <c r="B132" s="80" t="inlineStr"/>
      <c r="C132" s="81" t="inlineStr"/>
      <c r="D132" s="82" t="n">
        <v>0</v>
      </c>
      <c r="E132" s="80" t="inlineStr"/>
      <c r="F132" s="80" t="inlineStr"/>
      <c r="G132" s="80" t="inlineStr"/>
      <c r="H132" s="82" t="n">
        <v>0</v>
      </c>
      <c r="I132" s="83" t="inlineStr"/>
      <c r="J132" s="80" t="inlineStr"/>
    </row>
    <row r="133" ht="18" customHeight="1">
      <c r="A133" s="74" t="n">
        <v>12</v>
      </c>
      <c r="B133" s="75" t="inlineStr"/>
      <c r="C133" s="76" t="inlineStr"/>
      <c r="D133" s="77" t="n">
        <v>0</v>
      </c>
      <c r="E133" s="75" t="inlineStr"/>
      <c r="F133" s="75" t="inlineStr"/>
      <c r="G133" s="75" t="inlineStr"/>
      <c r="H133" s="77" t="n">
        <v>0</v>
      </c>
      <c r="I133" s="78" t="inlineStr"/>
      <c r="J133" s="75" t="inlineStr"/>
    </row>
    <row r="134" ht="18" customHeight="1">
      <c r="A134" s="79" t="n">
        <v>12</v>
      </c>
      <c r="B134" s="80" t="inlineStr"/>
      <c r="C134" s="81" t="inlineStr"/>
      <c r="D134" s="82" t="n">
        <v>0</v>
      </c>
      <c r="E134" s="80" t="inlineStr"/>
      <c r="F134" s="80" t="inlineStr"/>
      <c r="G134" s="80" t="inlineStr"/>
      <c r="H134" s="82" t="n">
        <v>0</v>
      </c>
      <c r="I134" s="83" t="inlineStr"/>
      <c r="J134" s="80" t="inlineStr"/>
    </row>
  </sheetData>
  <mergeCells count="13">
    <mergeCell ref="A47:J47"/>
    <mergeCell ref="A1:J1"/>
    <mergeCell ref="A80:J80"/>
    <mergeCell ref="A102:J102"/>
    <mergeCell ref="A36:J36"/>
    <mergeCell ref="A14:J14"/>
    <mergeCell ref="A58:J58"/>
    <mergeCell ref="A3:J3"/>
    <mergeCell ref="A124:J124"/>
    <mergeCell ref="A91:J91"/>
    <mergeCell ref="A69:J69"/>
    <mergeCell ref="A113:J113"/>
    <mergeCell ref="A25:J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114年 各部門已申請未核銷費用彙整表</t>
        </is>
      </c>
    </row>
    <row r="2" ht="14" customHeight="1"/>
    <row r="3" ht="22" customHeight="1">
      <c r="A3" s="73" t="inlineStr">
        <is>
          <t>1月 未核銷費用</t>
        </is>
      </c>
    </row>
    <row r="4" ht="22" customHeight="1">
      <c r="A4" s="2" t="inlineStr">
        <is>
          <t>部門</t>
        </is>
      </c>
      <c r="B4" s="2" t="inlineStr">
        <is>
          <t>業務費</t>
        </is>
      </c>
      <c r="C4" s="2" t="inlineStr">
        <is>
          <t>旅運費</t>
        </is>
      </c>
      <c r="D4" s="2" t="inlineStr">
        <is>
          <t>材料費</t>
        </is>
      </c>
      <c r="E4" s="2" t="inlineStr">
        <is>
          <t>維護費</t>
        </is>
      </c>
      <c r="F4" s="2" t="inlineStr">
        <is>
          <t>合計</t>
        </is>
      </c>
      <c r="G4" s="2" t="inlineStr">
        <is>
          <t>備註</t>
        </is>
      </c>
    </row>
    <row r="5" ht="18" customHeight="1">
      <c r="A5" s="60" t="inlineStr">
        <is>
          <t>原料部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31">
        <f>SUM(B5:E5)</f>
        <v/>
      </c>
      <c r="G5" s="60" t="inlineStr"/>
    </row>
    <row r="6" ht="18" customHeight="1">
      <c r="A6" s="60" t="inlineStr">
        <is>
          <t>產品部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31">
        <f>SUM(B6:E6)</f>
        <v/>
      </c>
      <c r="G6" s="60" t="inlineStr"/>
    </row>
    <row r="7" ht="18" customHeight="1">
      <c r="A7" s="60" t="inlineStr">
        <is>
          <t>檢驗部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31">
        <f>SUM(B7:E7)</f>
        <v/>
      </c>
      <c r="G7" s="60" t="inlineStr"/>
    </row>
    <row r="8" ht="18" customHeight="1">
      <c r="A8" s="60" t="inlineStr">
        <is>
          <t>製程部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31">
        <f>SUM(B8:E8)</f>
        <v/>
      </c>
      <c r="G8" s="60" t="inlineStr"/>
    </row>
    <row r="9" ht="18" customHeight="1">
      <c r="A9" s="60" t="inlineStr">
        <is>
          <t>雲分部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31">
        <f>SUM(B9:E9)</f>
        <v/>
      </c>
      <c r="G9" s="60" t="inlineStr"/>
    </row>
    <row r="10" ht="18" customHeight="1">
      <c r="A10" s="60" t="inlineStr">
        <is>
          <t>產服部</t>
        </is>
      </c>
      <c r="B10" s="18" t="n">
        <v>0</v>
      </c>
      <c r="C10" s="18" t="n">
        <v>0</v>
      </c>
      <c r="D10" s="18" t="n">
        <v>0</v>
      </c>
      <c r="E10" s="18" t="n">
        <v>0</v>
      </c>
      <c r="F10" s="31">
        <f>SUM(B10:E10)</f>
        <v/>
      </c>
      <c r="G10" s="60" t="inlineStr"/>
    </row>
    <row r="11" ht="20" customHeight="1">
      <c r="A11" s="84" t="inlineStr">
        <is>
          <t>月合計</t>
        </is>
      </c>
      <c r="B11" s="85">
        <f>SUM(B6:B11)</f>
        <v/>
      </c>
      <c r="C11" s="85">
        <f>SUM(C6:C11)</f>
        <v/>
      </c>
      <c r="D11" s="85">
        <f>SUM(D6:D11)</f>
        <v/>
      </c>
      <c r="E11" s="85">
        <f>SUM(E6:E11)</f>
        <v/>
      </c>
      <c r="F11" s="85">
        <f>SUM(F6:F11)</f>
        <v/>
      </c>
      <c r="G11" s="84" t="inlineStr"/>
    </row>
    <row r="12" ht="22" customHeight="1">
      <c r="A12" s="73" t="inlineStr">
        <is>
          <t>2月 未核銷費用</t>
        </is>
      </c>
    </row>
    <row r="13" ht="22" customHeight="1">
      <c r="A13" s="2" t="inlineStr">
        <is>
          <t>部門</t>
        </is>
      </c>
      <c r="B13" s="2" t="inlineStr">
        <is>
          <t>業務費</t>
        </is>
      </c>
      <c r="C13" s="2" t="inlineStr">
        <is>
          <t>旅運費</t>
        </is>
      </c>
      <c r="D13" s="2" t="inlineStr">
        <is>
          <t>材料費</t>
        </is>
      </c>
      <c r="E13" s="2" t="inlineStr">
        <is>
          <t>維護費</t>
        </is>
      </c>
      <c r="F13" s="2" t="inlineStr">
        <is>
          <t>合計</t>
        </is>
      </c>
      <c r="G13" s="2" t="inlineStr">
        <is>
          <t>備註</t>
        </is>
      </c>
    </row>
    <row r="14" ht="18" customHeight="1">
      <c r="A14" s="60" t="inlineStr">
        <is>
          <t>原料部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31">
        <f>SUM(B14:E14)</f>
        <v/>
      </c>
      <c r="G14" s="60" t="inlineStr"/>
    </row>
    <row r="15" ht="18" customHeight="1">
      <c r="A15" s="60" t="inlineStr">
        <is>
          <t>產品部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31">
        <f>SUM(B15:E15)</f>
        <v/>
      </c>
      <c r="G15" s="60" t="inlineStr"/>
    </row>
    <row r="16" ht="18" customHeight="1">
      <c r="A16" s="60" t="inlineStr">
        <is>
          <t>檢驗部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31">
        <f>SUM(B16:E16)</f>
        <v/>
      </c>
      <c r="G16" s="60" t="inlineStr"/>
    </row>
    <row r="17" ht="18" customHeight="1">
      <c r="A17" s="60" t="inlineStr">
        <is>
          <t>製程部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31">
        <f>SUM(B17:E17)</f>
        <v/>
      </c>
      <c r="G17" s="60" t="inlineStr"/>
    </row>
    <row r="18" ht="18" customHeight="1">
      <c r="A18" s="60" t="inlineStr">
        <is>
          <t>雲分部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31">
        <f>SUM(B18:E18)</f>
        <v/>
      </c>
      <c r="G18" s="60" t="inlineStr"/>
    </row>
    <row r="19" ht="18" customHeight="1">
      <c r="A19" s="60" t="inlineStr">
        <is>
          <t>產服部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31">
        <f>SUM(B19:E19)</f>
        <v/>
      </c>
      <c r="G19" s="60" t="inlineStr"/>
    </row>
    <row r="20" ht="20" customHeight="1">
      <c r="A20" s="84" t="inlineStr">
        <is>
          <t>月合計</t>
        </is>
      </c>
      <c r="B20" s="85">
        <f>SUM(B15:B20)</f>
        <v/>
      </c>
      <c r="C20" s="85">
        <f>SUM(C15:C20)</f>
        <v/>
      </c>
      <c r="D20" s="85">
        <f>SUM(D15:D20)</f>
        <v/>
      </c>
      <c r="E20" s="85">
        <f>SUM(E15:E20)</f>
        <v/>
      </c>
      <c r="F20" s="85">
        <f>SUM(F15:F20)</f>
        <v/>
      </c>
      <c r="G20" s="84" t="inlineStr"/>
    </row>
    <row r="21" ht="22" customHeight="1">
      <c r="A21" s="73" t="inlineStr">
        <is>
          <t>3月 未核銷費用</t>
        </is>
      </c>
    </row>
    <row r="22" ht="22" customHeight="1">
      <c r="A22" s="2" t="inlineStr">
        <is>
          <t>部門</t>
        </is>
      </c>
      <c r="B22" s="2" t="inlineStr">
        <is>
          <t>業務費</t>
        </is>
      </c>
      <c r="C22" s="2" t="inlineStr">
        <is>
          <t>旅運費</t>
        </is>
      </c>
      <c r="D22" s="2" t="inlineStr">
        <is>
          <t>材料費</t>
        </is>
      </c>
      <c r="E22" s="2" t="inlineStr">
        <is>
          <t>維護費</t>
        </is>
      </c>
      <c r="F22" s="2" t="inlineStr">
        <is>
          <t>合計</t>
        </is>
      </c>
      <c r="G22" s="2" t="inlineStr">
        <is>
          <t>備註</t>
        </is>
      </c>
    </row>
    <row r="23" ht="18" customHeight="1">
      <c r="A23" s="60" t="inlineStr">
        <is>
          <t>原料部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31">
        <f>SUM(B23:E23)</f>
        <v/>
      </c>
      <c r="G23" s="60" t="inlineStr"/>
    </row>
    <row r="24" ht="18" customHeight="1">
      <c r="A24" s="60" t="inlineStr">
        <is>
          <t>產品部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31">
        <f>SUM(B24:E24)</f>
        <v/>
      </c>
      <c r="G24" s="60" t="inlineStr"/>
    </row>
    <row r="25" ht="18" customHeight="1">
      <c r="A25" s="60" t="inlineStr">
        <is>
          <t>檢驗部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31">
        <f>SUM(B25:E25)</f>
        <v/>
      </c>
      <c r="G25" s="60" t="inlineStr"/>
    </row>
    <row r="26" ht="18" customHeight="1">
      <c r="A26" s="60" t="inlineStr">
        <is>
          <t>製程部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31">
        <f>SUM(B26:E26)</f>
        <v/>
      </c>
      <c r="G26" s="60" t="inlineStr"/>
    </row>
    <row r="27" ht="18" customHeight="1">
      <c r="A27" s="60" t="inlineStr">
        <is>
          <t>雲分部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31">
        <f>SUM(B27:E27)</f>
        <v/>
      </c>
      <c r="G27" s="60" t="inlineStr"/>
    </row>
    <row r="28" ht="18" customHeight="1">
      <c r="A28" s="60" t="inlineStr">
        <is>
          <t>產服部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31">
        <f>SUM(B28:E28)</f>
        <v/>
      </c>
      <c r="G28" s="60" t="inlineStr"/>
    </row>
    <row r="29" ht="20" customHeight="1">
      <c r="A29" s="84" t="inlineStr">
        <is>
          <t>月合計</t>
        </is>
      </c>
      <c r="B29" s="85">
        <f>SUM(B24:B29)</f>
        <v/>
      </c>
      <c r="C29" s="85">
        <f>SUM(C24:C29)</f>
        <v/>
      </c>
      <c r="D29" s="85">
        <f>SUM(D24:D29)</f>
        <v/>
      </c>
      <c r="E29" s="85">
        <f>SUM(E24:E29)</f>
        <v/>
      </c>
      <c r="F29" s="85">
        <f>SUM(F24:F29)</f>
        <v/>
      </c>
      <c r="G29" s="84" t="inlineStr"/>
    </row>
    <row r="30" ht="22" customHeight="1">
      <c r="A30" s="73" t="inlineStr">
        <is>
          <t>4月 未核銷費用</t>
        </is>
      </c>
    </row>
    <row r="31" ht="22" customHeight="1">
      <c r="A31" s="2" t="inlineStr">
        <is>
          <t>部門</t>
        </is>
      </c>
      <c r="B31" s="2" t="inlineStr">
        <is>
          <t>業務費</t>
        </is>
      </c>
      <c r="C31" s="2" t="inlineStr">
        <is>
          <t>旅運費</t>
        </is>
      </c>
      <c r="D31" s="2" t="inlineStr">
        <is>
          <t>材料費</t>
        </is>
      </c>
      <c r="E31" s="2" t="inlineStr">
        <is>
          <t>維護費</t>
        </is>
      </c>
      <c r="F31" s="2" t="inlineStr">
        <is>
          <t>合計</t>
        </is>
      </c>
      <c r="G31" s="2" t="inlineStr">
        <is>
          <t>備註</t>
        </is>
      </c>
    </row>
    <row r="32" ht="18" customHeight="1">
      <c r="A32" s="60" t="inlineStr">
        <is>
          <t>原料部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31">
        <f>SUM(B32:E32)</f>
        <v/>
      </c>
      <c r="G32" s="60" t="inlineStr"/>
    </row>
    <row r="33" ht="18" customHeight="1">
      <c r="A33" s="60" t="inlineStr">
        <is>
          <t>產品部</t>
        </is>
      </c>
      <c r="B33" s="18" t="n">
        <v>0</v>
      </c>
      <c r="C33" s="18" t="n">
        <v>0</v>
      </c>
      <c r="D33" s="18" t="n">
        <v>0</v>
      </c>
      <c r="E33" s="18" t="n">
        <v>0</v>
      </c>
      <c r="F33" s="31">
        <f>SUM(B33:E33)</f>
        <v/>
      </c>
      <c r="G33" s="60" t="inlineStr"/>
    </row>
    <row r="34" ht="18" customHeight="1">
      <c r="A34" s="60" t="inlineStr">
        <is>
          <t>檢驗部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31">
        <f>SUM(B34:E34)</f>
        <v/>
      </c>
      <c r="G34" s="60" t="inlineStr"/>
    </row>
    <row r="35" ht="18" customHeight="1">
      <c r="A35" s="60" t="inlineStr">
        <is>
          <t>製程部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31">
        <f>SUM(B35:E35)</f>
        <v/>
      </c>
      <c r="G35" s="60" t="inlineStr"/>
    </row>
    <row r="36" ht="18" customHeight="1">
      <c r="A36" s="60" t="inlineStr">
        <is>
          <t>雲分部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31">
        <f>SUM(B36:E36)</f>
        <v/>
      </c>
      <c r="G36" s="60" t="inlineStr"/>
    </row>
    <row r="37" ht="18" customHeight="1">
      <c r="A37" s="60" t="inlineStr">
        <is>
          <t>產服部</t>
        </is>
      </c>
      <c r="B37" s="18" t="n">
        <v>0</v>
      </c>
      <c r="C37" s="18" t="n">
        <v>0</v>
      </c>
      <c r="D37" s="18" t="n">
        <v>0</v>
      </c>
      <c r="E37" s="18" t="n">
        <v>0</v>
      </c>
      <c r="F37" s="31">
        <f>SUM(B37:E37)</f>
        <v/>
      </c>
      <c r="G37" s="60" t="inlineStr"/>
    </row>
    <row r="38" ht="20" customHeight="1">
      <c r="A38" s="84" t="inlineStr">
        <is>
          <t>月合計</t>
        </is>
      </c>
      <c r="B38" s="85">
        <f>SUM(B33:B38)</f>
        <v/>
      </c>
      <c r="C38" s="85">
        <f>SUM(C33:C38)</f>
        <v/>
      </c>
      <c r="D38" s="85">
        <f>SUM(D33:D38)</f>
        <v/>
      </c>
      <c r="E38" s="85">
        <f>SUM(E33:E38)</f>
        <v/>
      </c>
      <c r="F38" s="85">
        <f>SUM(F33:F38)</f>
        <v/>
      </c>
      <c r="G38" s="84" t="inlineStr"/>
    </row>
    <row r="39" ht="22" customHeight="1">
      <c r="A39" s="73" t="inlineStr">
        <is>
          <t>5月 未核銷費用</t>
        </is>
      </c>
    </row>
    <row r="40" ht="22" customHeight="1">
      <c r="A40" s="2" t="inlineStr">
        <is>
          <t>部門</t>
        </is>
      </c>
      <c r="B40" s="2" t="inlineStr">
        <is>
          <t>業務費</t>
        </is>
      </c>
      <c r="C40" s="2" t="inlineStr">
        <is>
          <t>旅運費</t>
        </is>
      </c>
      <c r="D40" s="2" t="inlineStr">
        <is>
          <t>材料費</t>
        </is>
      </c>
      <c r="E40" s="2" t="inlineStr">
        <is>
          <t>維護費</t>
        </is>
      </c>
      <c r="F40" s="2" t="inlineStr">
        <is>
          <t>合計</t>
        </is>
      </c>
      <c r="G40" s="2" t="inlineStr">
        <is>
          <t>備註</t>
        </is>
      </c>
    </row>
    <row r="41" ht="18" customHeight="1">
      <c r="A41" s="60" t="inlineStr">
        <is>
          <t>原料部</t>
        </is>
      </c>
      <c r="B41" s="18" t="n">
        <v>0</v>
      </c>
      <c r="C41" s="18" t="n">
        <v>0</v>
      </c>
      <c r="D41" s="18" t="n">
        <v>0</v>
      </c>
      <c r="E41" s="18" t="n">
        <v>0</v>
      </c>
      <c r="F41" s="31">
        <f>SUM(B41:E41)</f>
        <v/>
      </c>
      <c r="G41" s="60" t="inlineStr"/>
    </row>
    <row r="42" ht="18" customHeight="1">
      <c r="A42" s="60" t="inlineStr">
        <is>
          <t>產品部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31">
        <f>SUM(B42:E42)</f>
        <v/>
      </c>
      <c r="G42" s="60" t="inlineStr"/>
    </row>
    <row r="43" ht="18" customHeight="1">
      <c r="A43" s="60" t="inlineStr">
        <is>
          <t>檢驗部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31">
        <f>SUM(B43:E43)</f>
        <v/>
      </c>
      <c r="G43" s="60" t="inlineStr"/>
    </row>
    <row r="44" ht="18" customHeight="1">
      <c r="A44" s="60" t="inlineStr">
        <is>
          <t>製程部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31">
        <f>SUM(B44:E44)</f>
        <v/>
      </c>
      <c r="G44" s="60" t="inlineStr"/>
    </row>
    <row r="45" ht="18" customHeight="1">
      <c r="A45" s="60" t="inlineStr">
        <is>
          <t>雲分部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31">
        <f>SUM(B45:E45)</f>
        <v/>
      </c>
      <c r="G45" s="60" t="inlineStr"/>
    </row>
    <row r="46" ht="18" customHeight="1">
      <c r="A46" s="60" t="inlineStr">
        <is>
          <t>產服部</t>
        </is>
      </c>
      <c r="B46" s="18" t="n">
        <v>0</v>
      </c>
      <c r="C46" s="18" t="n">
        <v>0</v>
      </c>
      <c r="D46" s="18" t="n">
        <v>0</v>
      </c>
      <c r="E46" s="18" t="n">
        <v>0</v>
      </c>
      <c r="F46" s="31">
        <f>SUM(B46:E46)</f>
        <v/>
      </c>
      <c r="G46" s="60" t="inlineStr"/>
    </row>
    <row r="47" ht="20" customHeight="1">
      <c r="A47" s="84" t="inlineStr">
        <is>
          <t>月合計</t>
        </is>
      </c>
      <c r="B47" s="85">
        <f>SUM(B42:B47)</f>
        <v/>
      </c>
      <c r="C47" s="85">
        <f>SUM(C42:C47)</f>
        <v/>
      </c>
      <c r="D47" s="85">
        <f>SUM(D42:D47)</f>
        <v/>
      </c>
      <c r="E47" s="85">
        <f>SUM(E42:E47)</f>
        <v/>
      </c>
      <c r="F47" s="85">
        <f>SUM(F42:F47)</f>
        <v/>
      </c>
      <c r="G47" s="84" t="inlineStr"/>
    </row>
    <row r="48" ht="22" customHeight="1">
      <c r="A48" s="73" t="inlineStr">
        <is>
          <t>6月 未核銷費用</t>
        </is>
      </c>
    </row>
    <row r="49" ht="22" customHeight="1">
      <c r="A49" s="2" t="inlineStr">
        <is>
          <t>部門</t>
        </is>
      </c>
      <c r="B49" s="2" t="inlineStr">
        <is>
          <t>業務費</t>
        </is>
      </c>
      <c r="C49" s="2" t="inlineStr">
        <is>
          <t>旅運費</t>
        </is>
      </c>
      <c r="D49" s="2" t="inlineStr">
        <is>
          <t>材料費</t>
        </is>
      </c>
      <c r="E49" s="2" t="inlineStr">
        <is>
          <t>維護費</t>
        </is>
      </c>
      <c r="F49" s="2" t="inlineStr">
        <is>
          <t>合計</t>
        </is>
      </c>
      <c r="G49" s="2" t="inlineStr">
        <is>
          <t>備註</t>
        </is>
      </c>
    </row>
    <row r="50" ht="18" customHeight="1">
      <c r="A50" s="60" t="inlineStr">
        <is>
          <t>原料部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31">
        <f>SUM(B50:E50)</f>
        <v/>
      </c>
      <c r="G50" s="60" t="inlineStr"/>
    </row>
    <row r="51" ht="18" customHeight="1">
      <c r="A51" s="60" t="inlineStr">
        <is>
          <t>產品部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31">
        <f>SUM(B51:E51)</f>
        <v/>
      </c>
      <c r="G51" s="60" t="inlineStr"/>
    </row>
    <row r="52" ht="18" customHeight="1">
      <c r="A52" s="60" t="inlineStr">
        <is>
          <t>檢驗部</t>
        </is>
      </c>
      <c r="B52" s="18" t="n">
        <v>0</v>
      </c>
      <c r="C52" s="18" t="n">
        <v>0</v>
      </c>
      <c r="D52" s="18" t="n">
        <v>0</v>
      </c>
      <c r="E52" s="18" t="n">
        <v>0</v>
      </c>
      <c r="F52" s="31">
        <f>SUM(B52:E52)</f>
        <v/>
      </c>
      <c r="G52" s="60" t="inlineStr"/>
    </row>
    <row r="53" ht="18" customHeight="1">
      <c r="A53" s="60" t="inlineStr">
        <is>
          <t>製程部</t>
        </is>
      </c>
      <c r="B53" s="18" t="n">
        <v>0</v>
      </c>
      <c r="C53" s="18" t="n">
        <v>0</v>
      </c>
      <c r="D53" s="18" t="n">
        <v>0</v>
      </c>
      <c r="E53" s="18" t="n">
        <v>0</v>
      </c>
      <c r="F53" s="31">
        <f>SUM(B53:E53)</f>
        <v/>
      </c>
      <c r="G53" s="60" t="inlineStr"/>
    </row>
    <row r="54" ht="18" customHeight="1">
      <c r="A54" s="60" t="inlineStr">
        <is>
          <t>雲分部</t>
        </is>
      </c>
      <c r="B54" s="18" t="n">
        <v>0</v>
      </c>
      <c r="C54" s="18" t="n">
        <v>0</v>
      </c>
      <c r="D54" s="18" t="n">
        <v>0</v>
      </c>
      <c r="E54" s="18" t="n">
        <v>0</v>
      </c>
      <c r="F54" s="31">
        <f>SUM(B54:E54)</f>
        <v/>
      </c>
      <c r="G54" s="60" t="inlineStr"/>
    </row>
    <row r="55" ht="18" customHeight="1">
      <c r="A55" s="60" t="inlineStr">
        <is>
          <t>產服部</t>
        </is>
      </c>
      <c r="B55" s="18" t="n">
        <v>0</v>
      </c>
      <c r="C55" s="18" t="n">
        <v>0</v>
      </c>
      <c r="D55" s="18" t="n">
        <v>0</v>
      </c>
      <c r="E55" s="18" t="n">
        <v>0</v>
      </c>
      <c r="F55" s="31">
        <f>SUM(B55:E55)</f>
        <v/>
      </c>
      <c r="G55" s="60" t="inlineStr"/>
    </row>
    <row r="56" ht="20" customHeight="1">
      <c r="A56" s="84" t="inlineStr">
        <is>
          <t>月合計</t>
        </is>
      </c>
      <c r="B56" s="85">
        <f>SUM(B51:B56)</f>
        <v/>
      </c>
      <c r="C56" s="85">
        <f>SUM(C51:C56)</f>
        <v/>
      </c>
      <c r="D56" s="85">
        <f>SUM(D51:D56)</f>
        <v/>
      </c>
      <c r="E56" s="85">
        <f>SUM(E51:E56)</f>
        <v/>
      </c>
      <c r="F56" s="85">
        <f>SUM(F51:F56)</f>
        <v/>
      </c>
      <c r="G56" s="84" t="inlineStr"/>
    </row>
    <row r="57" ht="22" customHeight="1">
      <c r="A57" s="73" t="inlineStr">
        <is>
          <t>7月 未核銷費用</t>
        </is>
      </c>
    </row>
    <row r="58" ht="22" customHeight="1">
      <c r="A58" s="2" t="inlineStr">
        <is>
          <t>部門</t>
        </is>
      </c>
      <c r="B58" s="2" t="inlineStr">
        <is>
          <t>業務費</t>
        </is>
      </c>
      <c r="C58" s="2" t="inlineStr">
        <is>
          <t>旅運費</t>
        </is>
      </c>
      <c r="D58" s="2" t="inlineStr">
        <is>
          <t>材料費</t>
        </is>
      </c>
      <c r="E58" s="2" t="inlineStr">
        <is>
          <t>維護費</t>
        </is>
      </c>
      <c r="F58" s="2" t="inlineStr">
        <is>
          <t>合計</t>
        </is>
      </c>
      <c r="G58" s="2" t="inlineStr">
        <is>
          <t>備註</t>
        </is>
      </c>
    </row>
    <row r="59" ht="18" customHeight="1">
      <c r="A59" s="60" t="inlineStr">
        <is>
          <t>原料部</t>
        </is>
      </c>
      <c r="B59" s="18" t="n">
        <v>0</v>
      </c>
      <c r="C59" s="18" t="n">
        <v>0</v>
      </c>
      <c r="D59" s="18" t="n">
        <v>0</v>
      </c>
      <c r="E59" s="18" t="n">
        <v>0</v>
      </c>
      <c r="F59" s="31">
        <f>SUM(B59:E59)</f>
        <v/>
      </c>
      <c r="G59" s="60" t="inlineStr"/>
    </row>
    <row r="60" ht="18" customHeight="1">
      <c r="A60" s="60" t="inlineStr">
        <is>
          <t>產品部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31">
        <f>SUM(B60:E60)</f>
        <v/>
      </c>
      <c r="G60" s="60" t="inlineStr"/>
    </row>
    <row r="61" ht="18" customHeight="1">
      <c r="A61" s="60" t="inlineStr">
        <is>
          <t>檢驗部</t>
        </is>
      </c>
      <c r="B61" s="18" t="n">
        <v>0</v>
      </c>
      <c r="C61" s="18" t="n">
        <v>0</v>
      </c>
      <c r="D61" s="18" t="n">
        <v>0</v>
      </c>
      <c r="E61" s="18" t="n">
        <v>0</v>
      </c>
      <c r="F61" s="31">
        <f>SUM(B61:E61)</f>
        <v/>
      </c>
      <c r="G61" s="60" t="inlineStr"/>
    </row>
    <row r="62" ht="18" customHeight="1">
      <c r="A62" s="60" t="inlineStr">
        <is>
          <t>製程部</t>
        </is>
      </c>
      <c r="B62" s="18" t="n">
        <v>0</v>
      </c>
      <c r="C62" s="18" t="n">
        <v>0</v>
      </c>
      <c r="D62" s="18" t="n">
        <v>0</v>
      </c>
      <c r="E62" s="18" t="n">
        <v>0</v>
      </c>
      <c r="F62" s="31">
        <f>SUM(B62:E62)</f>
        <v/>
      </c>
      <c r="G62" s="60" t="inlineStr"/>
    </row>
    <row r="63" ht="18" customHeight="1">
      <c r="A63" s="60" t="inlineStr">
        <is>
          <t>雲分部</t>
        </is>
      </c>
      <c r="B63" s="18" t="n">
        <v>0</v>
      </c>
      <c r="C63" s="18" t="n">
        <v>0</v>
      </c>
      <c r="D63" s="18" t="n">
        <v>0</v>
      </c>
      <c r="E63" s="18" t="n">
        <v>0</v>
      </c>
      <c r="F63" s="31">
        <f>SUM(B63:E63)</f>
        <v/>
      </c>
      <c r="G63" s="60" t="inlineStr"/>
    </row>
    <row r="64" ht="18" customHeight="1">
      <c r="A64" s="60" t="inlineStr">
        <is>
          <t>產服部</t>
        </is>
      </c>
      <c r="B64" s="18" t="n">
        <v>0</v>
      </c>
      <c r="C64" s="18" t="n">
        <v>0</v>
      </c>
      <c r="D64" s="18" t="n">
        <v>0</v>
      </c>
      <c r="E64" s="18" t="n">
        <v>0</v>
      </c>
      <c r="F64" s="31">
        <f>SUM(B64:E64)</f>
        <v/>
      </c>
      <c r="G64" s="60" t="inlineStr"/>
    </row>
    <row r="65" ht="20" customHeight="1">
      <c r="A65" s="84" t="inlineStr">
        <is>
          <t>月合計</t>
        </is>
      </c>
      <c r="B65" s="85">
        <f>SUM(B60:B65)</f>
        <v/>
      </c>
      <c r="C65" s="85">
        <f>SUM(C60:C65)</f>
        <v/>
      </c>
      <c r="D65" s="85">
        <f>SUM(D60:D65)</f>
        <v/>
      </c>
      <c r="E65" s="85">
        <f>SUM(E60:E65)</f>
        <v/>
      </c>
      <c r="F65" s="85">
        <f>SUM(F60:F65)</f>
        <v/>
      </c>
      <c r="G65" s="84" t="inlineStr"/>
    </row>
    <row r="66" ht="22" customHeight="1">
      <c r="A66" s="73" t="inlineStr">
        <is>
          <t>8月 未核銷費用</t>
        </is>
      </c>
    </row>
    <row r="67" ht="22" customHeight="1">
      <c r="A67" s="2" t="inlineStr">
        <is>
          <t>部門</t>
        </is>
      </c>
      <c r="B67" s="2" t="inlineStr">
        <is>
          <t>業務費</t>
        </is>
      </c>
      <c r="C67" s="2" t="inlineStr">
        <is>
          <t>旅運費</t>
        </is>
      </c>
      <c r="D67" s="2" t="inlineStr">
        <is>
          <t>材料費</t>
        </is>
      </c>
      <c r="E67" s="2" t="inlineStr">
        <is>
          <t>維護費</t>
        </is>
      </c>
      <c r="F67" s="2" t="inlineStr">
        <is>
          <t>合計</t>
        </is>
      </c>
      <c r="G67" s="2" t="inlineStr">
        <is>
          <t>備註</t>
        </is>
      </c>
    </row>
    <row r="68" ht="18" customHeight="1">
      <c r="A68" s="60" t="inlineStr">
        <is>
          <t>原料部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31">
        <f>SUM(B68:E68)</f>
        <v/>
      </c>
      <c r="G68" s="60" t="inlineStr"/>
    </row>
    <row r="69" ht="18" customHeight="1">
      <c r="A69" s="60" t="inlineStr">
        <is>
          <t>產品部</t>
        </is>
      </c>
      <c r="B69" s="18" t="n">
        <v>0</v>
      </c>
      <c r="C69" s="18" t="n">
        <v>0</v>
      </c>
      <c r="D69" s="18" t="n">
        <v>0</v>
      </c>
      <c r="E69" s="18" t="n">
        <v>0</v>
      </c>
      <c r="F69" s="31">
        <f>SUM(B69:E69)</f>
        <v/>
      </c>
      <c r="G69" s="60" t="inlineStr"/>
    </row>
    <row r="70" ht="18" customHeight="1">
      <c r="A70" s="60" t="inlineStr">
        <is>
          <t>檢驗部</t>
        </is>
      </c>
      <c r="B70" s="18" t="n">
        <v>0</v>
      </c>
      <c r="C70" s="18" t="n">
        <v>0</v>
      </c>
      <c r="D70" s="18" t="n">
        <v>0</v>
      </c>
      <c r="E70" s="18" t="n">
        <v>0</v>
      </c>
      <c r="F70" s="31">
        <f>SUM(B70:E70)</f>
        <v/>
      </c>
      <c r="G70" s="60" t="inlineStr"/>
    </row>
    <row r="71" ht="18" customHeight="1">
      <c r="A71" s="60" t="inlineStr">
        <is>
          <t>製程部</t>
        </is>
      </c>
      <c r="B71" s="18" t="n">
        <v>0</v>
      </c>
      <c r="C71" s="18" t="n">
        <v>0</v>
      </c>
      <c r="D71" s="18" t="n">
        <v>0</v>
      </c>
      <c r="E71" s="18" t="n">
        <v>0</v>
      </c>
      <c r="F71" s="31">
        <f>SUM(B71:E71)</f>
        <v/>
      </c>
      <c r="G71" s="60" t="inlineStr"/>
    </row>
    <row r="72" ht="18" customHeight="1">
      <c r="A72" s="60" t="inlineStr">
        <is>
          <t>雲分部</t>
        </is>
      </c>
      <c r="B72" s="18" t="n">
        <v>0</v>
      </c>
      <c r="C72" s="18" t="n">
        <v>0</v>
      </c>
      <c r="D72" s="18" t="n">
        <v>0</v>
      </c>
      <c r="E72" s="18" t="n">
        <v>0</v>
      </c>
      <c r="F72" s="31">
        <f>SUM(B72:E72)</f>
        <v/>
      </c>
      <c r="G72" s="60" t="inlineStr"/>
    </row>
    <row r="73" ht="18" customHeight="1">
      <c r="A73" s="60" t="inlineStr">
        <is>
          <t>產服部</t>
        </is>
      </c>
      <c r="B73" s="18" t="n">
        <v>0</v>
      </c>
      <c r="C73" s="18" t="n">
        <v>0</v>
      </c>
      <c r="D73" s="18" t="n">
        <v>0</v>
      </c>
      <c r="E73" s="18" t="n">
        <v>0</v>
      </c>
      <c r="F73" s="31">
        <f>SUM(B73:E73)</f>
        <v/>
      </c>
      <c r="G73" s="60" t="inlineStr"/>
    </row>
    <row r="74" ht="20" customHeight="1">
      <c r="A74" s="84" t="inlineStr">
        <is>
          <t>月合計</t>
        </is>
      </c>
      <c r="B74" s="85">
        <f>SUM(B69:B74)</f>
        <v/>
      </c>
      <c r="C74" s="85">
        <f>SUM(C69:C74)</f>
        <v/>
      </c>
      <c r="D74" s="85">
        <f>SUM(D69:D74)</f>
        <v/>
      </c>
      <c r="E74" s="85">
        <f>SUM(E69:E74)</f>
        <v/>
      </c>
      <c r="F74" s="85">
        <f>SUM(F69:F74)</f>
        <v/>
      </c>
      <c r="G74" s="84" t="inlineStr"/>
    </row>
    <row r="75" ht="22" customHeight="1">
      <c r="A75" s="73" t="inlineStr">
        <is>
          <t>9月 未核銷費用</t>
        </is>
      </c>
    </row>
    <row r="76" ht="22" customHeight="1">
      <c r="A76" s="2" t="inlineStr">
        <is>
          <t>部門</t>
        </is>
      </c>
      <c r="B76" s="2" t="inlineStr">
        <is>
          <t>業務費</t>
        </is>
      </c>
      <c r="C76" s="2" t="inlineStr">
        <is>
          <t>旅運費</t>
        </is>
      </c>
      <c r="D76" s="2" t="inlineStr">
        <is>
          <t>材料費</t>
        </is>
      </c>
      <c r="E76" s="2" t="inlineStr">
        <is>
          <t>維護費</t>
        </is>
      </c>
      <c r="F76" s="2" t="inlineStr">
        <is>
          <t>合計</t>
        </is>
      </c>
      <c r="G76" s="2" t="inlineStr">
        <is>
          <t>備註</t>
        </is>
      </c>
    </row>
    <row r="77" ht="18" customHeight="1">
      <c r="A77" s="60" t="inlineStr">
        <is>
          <t>原料部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31">
        <f>SUM(B77:E77)</f>
        <v/>
      </c>
      <c r="G77" s="60" t="inlineStr"/>
    </row>
    <row r="78" ht="18" customHeight="1">
      <c r="A78" s="60" t="inlineStr">
        <is>
          <t>產品部</t>
        </is>
      </c>
      <c r="B78" s="18" t="n">
        <v>0</v>
      </c>
      <c r="C78" s="18" t="n">
        <v>0</v>
      </c>
      <c r="D78" s="18" t="n">
        <v>0</v>
      </c>
      <c r="E78" s="18" t="n">
        <v>0</v>
      </c>
      <c r="F78" s="31">
        <f>SUM(B78:E78)</f>
        <v/>
      </c>
      <c r="G78" s="60" t="inlineStr"/>
    </row>
    <row r="79" ht="18" customHeight="1">
      <c r="A79" s="60" t="inlineStr">
        <is>
          <t>檢驗部</t>
        </is>
      </c>
      <c r="B79" s="18" t="n">
        <v>0</v>
      </c>
      <c r="C79" s="18" t="n">
        <v>0</v>
      </c>
      <c r="D79" s="18" t="n">
        <v>0</v>
      </c>
      <c r="E79" s="18" t="n">
        <v>0</v>
      </c>
      <c r="F79" s="31">
        <f>SUM(B79:E79)</f>
        <v/>
      </c>
      <c r="G79" s="60" t="inlineStr"/>
    </row>
    <row r="80" ht="18" customHeight="1">
      <c r="A80" s="60" t="inlineStr">
        <is>
          <t>製程部</t>
        </is>
      </c>
      <c r="B80" s="18" t="n">
        <v>0</v>
      </c>
      <c r="C80" s="18" t="n">
        <v>0</v>
      </c>
      <c r="D80" s="18" t="n">
        <v>0</v>
      </c>
      <c r="E80" s="18" t="n">
        <v>0</v>
      </c>
      <c r="F80" s="31">
        <f>SUM(B80:E80)</f>
        <v/>
      </c>
      <c r="G80" s="60" t="inlineStr"/>
    </row>
    <row r="81" ht="18" customHeight="1">
      <c r="A81" s="60" t="inlineStr">
        <is>
          <t>雲分部</t>
        </is>
      </c>
      <c r="B81" s="18" t="n">
        <v>0</v>
      </c>
      <c r="C81" s="18" t="n">
        <v>0</v>
      </c>
      <c r="D81" s="18" t="n">
        <v>0</v>
      </c>
      <c r="E81" s="18" t="n">
        <v>0</v>
      </c>
      <c r="F81" s="31">
        <f>SUM(B81:E81)</f>
        <v/>
      </c>
      <c r="G81" s="60" t="inlineStr"/>
    </row>
    <row r="82" ht="18" customHeight="1">
      <c r="A82" s="60" t="inlineStr">
        <is>
          <t>產服部</t>
        </is>
      </c>
      <c r="B82" s="18" t="n">
        <v>0</v>
      </c>
      <c r="C82" s="18" t="n">
        <v>0</v>
      </c>
      <c r="D82" s="18" t="n">
        <v>0</v>
      </c>
      <c r="E82" s="18" t="n">
        <v>0</v>
      </c>
      <c r="F82" s="31">
        <f>SUM(B82:E82)</f>
        <v/>
      </c>
      <c r="G82" s="60" t="inlineStr"/>
    </row>
    <row r="83" ht="20" customHeight="1">
      <c r="A83" s="84" t="inlineStr">
        <is>
          <t>月合計</t>
        </is>
      </c>
      <c r="B83" s="85">
        <f>SUM(B78:B83)</f>
        <v/>
      </c>
      <c r="C83" s="85">
        <f>SUM(C78:C83)</f>
        <v/>
      </c>
      <c r="D83" s="85">
        <f>SUM(D78:D83)</f>
        <v/>
      </c>
      <c r="E83" s="85">
        <f>SUM(E78:E83)</f>
        <v/>
      </c>
      <c r="F83" s="85">
        <f>SUM(F78:F83)</f>
        <v/>
      </c>
      <c r="G83" s="84" t="inlineStr"/>
    </row>
    <row r="84" ht="22" customHeight="1">
      <c r="A84" s="73" t="inlineStr">
        <is>
          <t>10月 未核銷費用</t>
        </is>
      </c>
    </row>
    <row r="85" ht="22" customHeight="1">
      <c r="A85" s="2" t="inlineStr">
        <is>
          <t>部門</t>
        </is>
      </c>
      <c r="B85" s="2" t="inlineStr">
        <is>
          <t>業務費</t>
        </is>
      </c>
      <c r="C85" s="2" t="inlineStr">
        <is>
          <t>旅運費</t>
        </is>
      </c>
      <c r="D85" s="2" t="inlineStr">
        <is>
          <t>材料費</t>
        </is>
      </c>
      <c r="E85" s="2" t="inlineStr">
        <is>
          <t>維護費</t>
        </is>
      </c>
      <c r="F85" s="2" t="inlineStr">
        <is>
          <t>合計</t>
        </is>
      </c>
      <c r="G85" s="2" t="inlineStr">
        <is>
          <t>備註</t>
        </is>
      </c>
    </row>
    <row r="86" ht="18" customHeight="1">
      <c r="A86" s="60" t="inlineStr">
        <is>
          <t>原料部</t>
        </is>
      </c>
      <c r="B86" s="18" t="n">
        <v>0</v>
      </c>
      <c r="C86" s="18" t="n">
        <v>0</v>
      </c>
      <c r="D86" s="18" t="n">
        <v>0</v>
      </c>
      <c r="E86" s="18" t="n">
        <v>0</v>
      </c>
      <c r="F86" s="31">
        <f>SUM(B86:E86)</f>
        <v/>
      </c>
      <c r="G86" s="60" t="inlineStr"/>
    </row>
    <row r="87" ht="18" customHeight="1">
      <c r="A87" s="60" t="inlineStr">
        <is>
          <t>產品部</t>
        </is>
      </c>
      <c r="B87" s="18" t="n">
        <v>0</v>
      </c>
      <c r="C87" s="18" t="n">
        <v>0</v>
      </c>
      <c r="D87" s="18" t="n">
        <v>0</v>
      </c>
      <c r="E87" s="18" t="n">
        <v>0</v>
      </c>
      <c r="F87" s="31">
        <f>SUM(B87:E87)</f>
        <v/>
      </c>
      <c r="G87" s="60" t="inlineStr"/>
    </row>
    <row r="88" ht="18" customHeight="1">
      <c r="A88" s="60" t="inlineStr">
        <is>
          <t>檢驗部</t>
        </is>
      </c>
      <c r="B88" s="18" t="n">
        <v>0</v>
      </c>
      <c r="C88" s="18" t="n">
        <v>0</v>
      </c>
      <c r="D88" s="18" t="n">
        <v>0</v>
      </c>
      <c r="E88" s="18" t="n">
        <v>0</v>
      </c>
      <c r="F88" s="31">
        <f>SUM(B88:E88)</f>
        <v/>
      </c>
      <c r="G88" s="60" t="inlineStr"/>
    </row>
    <row r="89" ht="18" customHeight="1">
      <c r="A89" s="60" t="inlineStr">
        <is>
          <t>製程部</t>
        </is>
      </c>
      <c r="B89" s="18" t="n">
        <v>0</v>
      </c>
      <c r="C89" s="18" t="n">
        <v>0</v>
      </c>
      <c r="D89" s="18" t="n">
        <v>0</v>
      </c>
      <c r="E89" s="18" t="n">
        <v>0</v>
      </c>
      <c r="F89" s="31">
        <f>SUM(B89:E89)</f>
        <v/>
      </c>
      <c r="G89" s="60" t="inlineStr"/>
    </row>
    <row r="90" ht="18" customHeight="1">
      <c r="A90" s="60" t="inlineStr">
        <is>
          <t>雲分部</t>
        </is>
      </c>
      <c r="B90" s="18" t="n">
        <v>0</v>
      </c>
      <c r="C90" s="18" t="n">
        <v>0</v>
      </c>
      <c r="D90" s="18" t="n">
        <v>0</v>
      </c>
      <c r="E90" s="18" t="n">
        <v>0</v>
      </c>
      <c r="F90" s="31">
        <f>SUM(B90:E90)</f>
        <v/>
      </c>
      <c r="G90" s="60" t="inlineStr"/>
    </row>
    <row r="91" ht="18" customHeight="1">
      <c r="A91" s="60" t="inlineStr">
        <is>
          <t>產服部</t>
        </is>
      </c>
      <c r="B91" s="18" t="n">
        <v>0</v>
      </c>
      <c r="C91" s="18" t="n">
        <v>0</v>
      </c>
      <c r="D91" s="18" t="n">
        <v>0</v>
      </c>
      <c r="E91" s="18" t="n">
        <v>0</v>
      </c>
      <c r="F91" s="31">
        <f>SUM(B91:E91)</f>
        <v/>
      </c>
      <c r="G91" s="60" t="inlineStr"/>
    </row>
    <row r="92" ht="20" customHeight="1">
      <c r="A92" s="84" t="inlineStr">
        <is>
          <t>月合計</t>
        </is>
      </c>
      <c r="B92" s="85">
        <f>SUM(B87:B92)</f>
        <v/>
      </c>
      <c r="C92" s="85">
        <f>SUM(C87:C92)</f>
        <v/>
      </c>
      <c r="D92" s="85">
        <f>SUM(D87:D92)</f>
        <v/>
      </c>
      <c r="E92" s="85">
        <f>SUM(E87:E92)</f>
        <v/>
      </c>
      <c r="F92" s="85">
        <f>SUM(F87:F92)</f>
        <v/>
      </c>
      <c r="G92" s="84" t="inlineStr"/>
    </row>
    <row r="93" ht="22" customHeight="1">
      <c r="A93" s="73" t="inlineStr">
        <is>
          <t>11月 未核銷費用</t>
        </is>
      </c>
    </row>
    <row r="94" ht="22" customHeight="1">
      <c r="A94" s="2" t="inlineStr">
        <is>
          <t>部門</t>
        </is>
      </c>
      <c r="B94" s="2" t="inlineStr">
        <is>
          <t>業務費</t>
        </is>
      </c>
      <c r="C94" s="2" t="inlineStr">
        <is>
          <t>旅運費</t>
        </is>
      </c>
      <c r="D94" s="2" t="inlineStr">
        <is>
          <t>材料費</t>
        </is>
      </c>
      <c r="E94" s="2" t="inlineStr">
        <is>
          <t>維護費</t>
        </is>
      </c>
      <c r="F94" s="2" t="inlineStr">
        <is>
          <t>合計</t>
        </is>
      </c>
      <c r="G94" s="2" t="inlineStr">
        <is>
          <t>備註</t>
        </is>
      </c>
    </row>
    <row r="95" ht="18" customHeight="1">
      <c r="A95" s="60" t="inlineStr">
        <is>
          <t>原料部</t>
        </is>
      </c>
      <c r="B95" s="18" t="n">
        <v>0</v>
      </c>
      <c r="C95" s="18" t="n">
        <v>0</v>
      </c>
      <c r="D95" s="18" t="n">
        <v>0</v>
      </c>
      <c r="E95" s="18" t="n">
        <v>0</v>
      </c>
      <c r="F95" s="31">
        <f>SUM(B95:E95)</f>
        <v/>
      </c>
      <c r="G95" s="60" t="inlineStr"/>
    </row>
    <row r="96" ht="18" customHeight="1">
      <c r="A96" s="60" t="inlineStr">
        <is>
          <t>產品部</t>
        </is>
      </c>
      <c r="B96" s="18" t="n">
        <v>0</v>
      </c>
      <c r="C96" s="18" t="n">
        <v>0</v>
      </c>
      <c r="D96" s="18" t="n">
        <v>0</v>
      </c>
      <c r="E96" s="18" t="n">
        <v>0</v>
      </c>
      <c r="F96" s="31">
        <f>SUM(B96:E96)</f>
        <v/>
      </c>
      <c r="G96" s="60" t="inlineStr"/>
    </row>
    <row r="97" ht="18" customHeight="1">
      <c r="A97" s="60" t="inlineStr">
        <is>
          <t>檢驗部</t>
        </is>
      </c>
      <c r="B97" s="18" t="n">
        <v>0</v>
      </c>
      <c r="C97" s="18" t="n">
        <v>0</v>
      </c>
      <c r="D97" s="18" t="n">
        <v>0</v>
      </c>
      <c r="E97" s="18" t="n">
        <v>0</v>
      </c>
      <c r="F97" s="31">
        <f>SUM(B97:E97)</f>
        <v/>
      </c>
      <c r="G97" s="60" t="inlineStr"/>
    </row>
    <row r="98" ht="18" customHeight="1">
      <c r="A98" s="60" t="inlineStr">
        <is>
          <t>製程部</t>
        </is>
      </c>
      <c r="B98" s="18" t="n">
        <v>0</v>
      </c>
      <c r="C98" s="18" t="n">
        <v>0</v>
      </c>
      <c r="D98" s="18" t="n">
        <v>0</v>
      </c>
      <c r="E98" s="18" t="n">
        <v>0</v>
      </c>
      <c r="F98" s="31">
        <f>SUM(B98:E98)</f>
        <v/>
      </c>
      <c r="G98" s="60" t="inlineStr"/>
    </row>
    <row r="99" ht="18" customHeight="1">
      <c r="A99" s="60" t="inlineStr">
        <is>
          <t>雲分部</t>
        </is>
      </c>
      <c r="B99" s="18" t="n">
        <v>0</v>
      </c>
      <c r="C99" s="18" t="n">
        <v>0</v>
      </c>
      <c r="D99" s="18" t="n">
        <v>0</v>
      </c>
      <c r="E99" s="18" t="n">
        <v>0</v>
      </c>
      <c r="F99" s="31">
        <f>SUM(B99:E99)</f>
        <v/>
      </c>
      <c r="G99" s="60" t="inlineStr"/>
    </row>
    <row r="100" ht="18" customHeight="1">
      <c r="A100" s="60" t="inlineStr">
        <is>
          <t>產服部</t>
        </is>
      </c>
      <c r="B100" s="18" t="n">
        <v>0</v>
      </c>
      <c r="C100" s="18" t="n">
        <v>0</v>
      </c>
      <c r="D100" s="18" t="n">
        <v>0</v>
      </c>
      <c r="E100" s="18" t="n">
        <v>0</v>
      </c>
      <c r="F100" s="31">
        <f>SUM(B100:E100)</f>
        <v/>
      </c>
      <c r="G100" s="60" t="inlineStr"/>
    </row>
    <row r="101" ht="20" customHeight="1">
      <c r="A101" s="84" t="inlineStr">
        <is>
          <t>月合計</t>
        </is>
      </c>
      <c r="B101" s="85">
        <f>SUM(B96:B101)</f>
        <v/>
      </c>
      <c r="C101" s="85">
        <f>SUM(C96:C101)</f>
        <v/>
      </c>
      <c r="D101" s="85">
        <f>SUM(D96:D101)</f>
        <v/>
      </c>
      <c r="E101" s="85">
        <f>SUM(E96:E101)</f>
        <v/>
      </c>
      <c r="F101" s="85">
        <f>SUM(F96:F101)</f>
        <v/>
      </c>
      <c r="G101" s="84" t="inlineStr"/>
    </row>
    <row r="102" ht="22" customHeight="1">
      <c r="A102" s="73" t="inlineStr">
        <is>
          <t>12月 未核銷費用</t>
        </is>
      </c>
    </row>
    <row r="103" ht="22" customHeight="1">
      <c r="A103" s="2" t="inlineStr">
        <is>
          <t>部門</t>
        </is>
      </c>
      <c r="B103" s="2" t="inlineStr">
        <is>
          <t>業務費</t>
        </is>
      </c>
      <c r="C103" s="2" t="inlineStr">
        <is>
          <t>旅運費</t>
        </is>
      </c>
      <c r="D103" s="2" t="inlineStr">
        <is>
          <t>材料費</t>
        </is>
      </c>
      <c r="E103" s="2" t="inlineStr">
        <is>
          <t>維護費</t>
        </is>
      </c>
      <c r="F103" s="2" t="inlineStr">
        <is>
          <t>合計</t>
        </is>
      </c>
      <c r="G103" s="2" t="inlineStr">
        <is>
          <t>備註</t>
        </is>
      </c>
    </row>
    <row r="104" ht="18" customHeight="1">
      <c r="A104" s="60" t="inlineStr">
        <is>
          <t>原料部</t>
        </is>
      </c>
      <c r="B104" s="18" t="n">
        <v>0</v>
      </c>
      <c r="C104" s="18" t="n">
        <v>0</v>
      </c>
      <c r="D104" s="18" t="n">
        <v>0</v>
      </c>
      <c r="E104" s="18" t="n">
        <v>0</v>
      </c>
      <c r="F104" s="31">
        <f>SUM(B104:E104)</f>
        <v/>
      </c>
      <c r="G104" s="60" t="inlineStr"/>
    </row>
    <row r="105" ht="18" customHeight="1">
      <c r="A105" s="60" t="inlineStr">
        <is>
          <t>產品部</t>
        </is>
      </c>
      <c r="B105" s="18" t="n">
        <v>0</v>
      </c>
      <c r="C105" s="18" t="n">
        <v>0</v>
      </c>
      <c r="D105" s="18" t="n">
        <v>0</v>
      </c>
      <c r="E105" s="18" t="n">
        <v>0</v>
      </c>
      <c r="F105" s="31">
        <f>SUM(B105:E105)</f>
        <v/>
      </c>
      <c r="G105" s="60" t="inlineStr"/>
    </row>
    <row r="106" ht="18" customHeight="1">
      <c r="A106" s="60" t="inlineStr">
        <is>
          <t>檢驗部</t>
        </is>
      </c>
      <c r="B106" s="18" t="n">
        <v>0</v>
      </c>
      <c r="C106" s="18" t="n">
        <v>0</v>
      </c>
      <c r="D106" s="18" t="n">
        <v>0</v>
      </c>
      <c r="E106" s="18" t="n">
        <v>0</v>
      </c>
      <c r="F106" s="31">
        <f>SUM(B106:E106)</f>
        <v/>
      </c>
      <c r="G106" s="60" t="inlineStr"/>
    </row>
    <row r="107" ht="18" customHeight="1">
      <c r="A107" s="60" t="inlineStr">
        <is>
          <t>製程部</t>
        </is>
      </c>
      <c r="B107" s="18" t="n">
        <v>0</v>
      </c>
      <c r="C107" s="18" t="n">
        <v>0</v>
      </c>
      <c r="D107" s="18" t="n">
        <v>0</v>
      </c>
      <c r="E107" s="18" t="n">
        <v>0</v>
      </c>
      <c r="F107" s="31">
        <f>SUM(B107:E107)</f>
        <v/>
      </c>
      <c r="G107" s="60" t="inlineStr"/>
    </row>
    <row r="108" ht="18" customHeight="1">
      <c r="A108" s="60" t="inlineStr">
        <is>
          <t>雲分部</t>
        </is>
      </c>
      <c r="B108" s="18" t="n">
        <v>0</v>
      </c>
      <c r="C108" s="18" t="n">
        <v>0</v>
      </c>
      <c r="D108" s="18" t="n">
        <v>0</v>
      </c>
      <c r="E108" s="18" t="n">
        <v>0</v>
      </c>
      <c r="F108" s="31">
        <f>SUM(B108:E108)</f>
        <v/>
      </c>
      <c r="G108" s="60" t="inlineStr"/>
    </row>
    <row r="109" ht="18" customHeight="1">
      <c r="A109" s="60" t="inlineStr">
        <is>
          <t>產服部</t>
        </is>
      </c>
      <c r="B109" s="18" t="n">
        <v>0</v>
      </c>
      <c r="C109" s="18" t="n">
        <v>0</v>
      </c>
      <c r="D109" s="18" t="n">
        <v>0</v>
      </c>
      <c r="E109" s="18" t="n">
        <v>0</v>
      </c>
      <c r="F109" s="31">
        <f>SUM(B109:E109)</f>
        <v/>
      </c>
      <c r="G109" s="60" t="inlineStr"/>
    </row>
    <row r="110" ht="20" customHeight="1">
      <c r="A110" s="84" t="inlineStr">
        <is>
          <t>月合計</t>
        </is>
      </c>
      <c r="B110" s="85">
        <f>SUM(B105:B110)</f>
        <v/>
      </c>
      <c r="C110" s="85">
        <f>SUM(C105:C110)</f>
        <v/>
      </c>
      <c r="D110" s="85">
        <f>SUM(D105:D110)</f>
        <v/>
      </c>
      <c r="E110" s="85">
        <f>SUM(E105:E110)</f>
        <v/>
      </c>
      <c r="F110" s="85">
        <f>SUM(F105:F110)</f>
        <v/>
      </c>
      <c r="G110" s="84" t="inlineStr"/>
    </row>
  </sheetData>
  <mergeCells count="13">
    <mergeCell ref="A12:H12"/>
    <mergeCell ref="A48:H48"/>
    <mergeCell ref="A3:H3"/>
    <mergeCell ref="A21:H21"/>
    <mergeCell ref="A30:H30"/>
    <mergeCell ref="A39:H39"/>
    <mergeCell ref="A57:H57"/>
    <mergeCell ref="A93:H93"/>
    <mergeCell ref="A66:H66"/>
    <mergeCell ref="A102:H102"/>
    <mergeCell ref="A1:H1"/>
    <mergeCell ref="A75:H75"/>
    <mergeCell ref="A84:H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2026-06-07T15:01:00Z</dcterms:created>
  <dcterms:modified xmlns:dcterms="http://purl.org/dc/terms/" xmlns:xsi="http://www.w3.org/2001/XMLSchema-instance" xsi:type="dcterms:W3CDTF">2026-06-07T15:01:00Z</dcterms:modified>
</cp:coreProperties>
</file>